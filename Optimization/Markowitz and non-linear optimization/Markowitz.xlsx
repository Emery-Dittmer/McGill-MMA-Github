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raymo\Documents\Education\McGill\McGill Masters\Semseter F22\MGSC 662\Assignments\Assignment #3\"/>
    </mc:Choice>
  </mc:AlternateContent>
  <xr:revisionPtr revIDLastSave="0" documentId="13_ncr:1_{34AFE33B-CC6A-418A-A09C-97DA15808F22}" xr6:coauthVersionLast="47" xr6:coauthVersionMax="47" xr10:uidLastSave="{00000000-0000-0000-0000-000000000000}"/>
  <bookViews>
    <workbookView xWindow="-16320" yWindow="-120" windowWidth="16440" windowHeight="28320" tabRatio="500" xr2:uid="{00000000-000D-0000-FFFF-FFFF00000000}"/>
  </bookViews>
  <sheets>
    <sheet name="Markowitz" sheetId="2" r:id="rId1"/>
    <sheet name="Markowitz (2)" sheetId="3" r:id="rId2"/>
  </sheets>
  <definedNames>
    <definedName name="_xlnm._FilterDatabase" localSheetId="0" hidden="1">Markowitz!$A$3:$F$70</definedName>
    <definedName name="_xlnm._FilterDatabase" localSheetId="1" hidden="1">'Markowitz (2)'!$A$3:$F$70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Markowitz!#REF!</definedName>
    <definedName name="solver_lhs1" localSheetId="1" hidden="1">'Markowitz (2)'!#REF!</definedName>
    <definedName name="solver_lhs2" localSheetId="0" hidden="1">Markowitz!#REF!</definedName>
    <definedName name="solver_lhs2" localSheetId="1" hidden="1">'Markowitz (2)'!#REF!</definedName>
    <definedName name="solver_lin" localSheetId="0" hidden="1">1</definedName>
    <definedName name="solver_lin" localSheetId="1" hidden="1">1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2</definedName>
    <definedName name="solver_rel1" localSheetId="1" hidden="1">2</definedName>
    <definedName name="solver_rel2" localSheetId="0" hidden="1">3</definedName>
    <definedName name="solver_rel2" localSheetId="1" hidden="1">3</definedName>
    <definedName name="solver_rhs1" localSheetId="0" hidden="1">Markowitz!#REF!</definedName>
    <definedName name="solver_rhs1" localSheetId="1" hidden="1">'Markowitz (2)'!#REF!</definedName>
    <definedName name="solver_rhs2" localSheetId="0" hidden="1">Markowitz!#REF!</definedName>
    <definedName name="solver_rhs2" localSheetId="1" hidden="1">'Markowitz (2)'!#REF!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6" i="3" l="1"/>
  <c r="P6" i="3"/>
  <c r="Q6" i="3"/>
  <c r="R6" i="3"/>
  <c r="O7" i="3"/>
  <c r="P7" i="3"/>
  <c r="Q7" i="3"/>
  <c r="R7" i="3"/>
  <c r="O8" i="3"/>
  <c r="P8" i="3"/>
  <c r="Q8" i="3"/>
  <c r="R8" i="3"/>
  <c r="O9" i="3"/>
  <c r="P9" i="3"/>
  <c r="Q9" i="3"/>
  <c r="R9" i="3"/>
  <c r="O10" i="3"/>
  <c r="P10" i="3"/>
  <c r="Q10" i="3"/>
  <c r="R10" i="3"/>
  <c r="O11" i="3"/>
  <c r="P11" i="3"/>
  <c r="Q11" i="3"/>
  <c r="R11" i="3"/>
  <c r="O12" i="3"/>
  <c r="P12" i="3"/>
  <c r="Q12" i="3"/>
  <c r="R12" i="3"/>
  <c r="O13" i="3"/>
  <c r="P13" i="3"/>
  <c r="Q13" i="3"/>
  <c r="R13" i="3"/>
  <c r="O14" i="3"/>
  <c r="P14" i="3"/>
  <c r="Q14" i="3"/>
  <c r="R14" i="3"/>
  <c r="O15" i="3"/>
  <c r="P15" i="3"/>
  <c r="Q15" i="3"/>
  <c r="R15" i="3"/>
  <c r="O16" i="3"/>
  <c r="P16" i="3"/>
  <c r="Q16" i="3"/>
  <c r="R16" i="3"/>
  <c r="O17" i="3"/>
  <c r="P17" i="3"/>
  <c r="Q17" i="3"/>
  <c r="R17" i="3"/>
  <c r="O18" i="3"/>
  <c r="P18" i="3"/>
  <c r="Q18" i="3"/>
  <c r="R18" i="3"/>
  <c r="O19" i="3"/>
  <c r="P19" i="3"/>
  <c r="Q19" i="3"/>
  <c r="R19" i="3"/>
  <c r="O20" i="3"/>
  <c r="P20" i="3"/>
  <c r="Q20" i="3"/>
  <c r="R20" i="3"/>
  <c r="O21" i="3"/>
  <c r="P21" i="3"/>
  <c r="Q21" i="3"/>
  <c r="R21" i="3"/>
  <c r="O22" i="3"/>
  <c r="P22" i="3"/>
  <c r="Q22" i="3"/>
  <c r="R22" i="3"/>
  <c r="O23" i="3"/>
  <c r="P23" i="3"/>
  <c r="Q23" i="3"/>
  <c r="R23" i="3"/>
  <c r="O24" i="3"/>
  <c r="P24" i="3"/>
  <c r="Q24" i="3"/>
  <c r="R24" i="3"/>
  <c r="O25" i="3"/>
  <c r="P25" i="3"/>
  <c r="Q25" i="3"/>
  <c r="R25" i="3"/>
  <c r="O26" i="3"/>
  <c r="P26" i="3"/>
  <c r="Q26" i="3"/>
  <c r="R26" i="3"/>
  <c r="O27" i="3"/>
  <c r="P27" i="3"/>
  <c r="Q27" i="3"/>
  <c r="R27" i="3"/>
  <c r="O28" i="3"/>
  <c r="P28" i="3"/>
  <c r="Q28" i="3"/>
  <c r="R28" i="3"/>
  <c r="O29" i="3"/>
  <c r="P29" i="3"/>
  <c r="Q29" i="3"/>
  <c r="R29" i="3"/>
  <c r="O30" i="3"/>
  <c r="P30" i="3"/>
  <c r="Q30" i="3"/>
  <c r="R30" i="3"/>
  <c r="O31" i="3"/>
  <c r="P31" i="3"/>
  <c r="Q31" i="3"/>
  <c r="R31" i="3"/>
  <c r="O32" i="3"/>
  <c r="P32" i="3"/>
  <c r="Q32" i="3"/>
  <c r="R32" i="3"/>
  <c r="O33" i="3"/>
  <c r="P33" i="3"/>
  <c r="Q33" i="3"/>
  <c r="R33" i="3"/>
  <c r="O34" i="3"/>
  <c r="P34" i="3"/>
  <c r="Q34" i="3"/>
  <c r="R34" i="3"/>
  <c r="O35" i="3"/>
  <c r="P35" i="3"/>
  <c r="Q35" i="3"/>
  <c r="R35" i="3"/>
  <c r="O36" i="3"/>
  <c r="P36" i="3"/>
  <c r="Q36" i="3"/>
  <c r="R36" i="3"/>
  <c r="O37" i="3"/>
  <c r="P37" i="3"/>
  <c r="Q37" i="3"/>
  <c r="R37" i="3"/>
  <c r="O38" i="3"/>
  <c r="P38" i="3"/>
  <c r="Q38" i="3"/>
  <c r="R38" i="3"/>
  <c r="O39" i="3"/>
  <c r="P39" i="3"/>
  <c r="Q39" i="3"/>
  <c r="R39" i="3"/>
  <c r="O40" i="3"/>
  <c r="P40" i="3"/>
  <c r="Q40" i="3"/>
  <c r="R40" i="3"/>
  <c r="O41" i="3"/>
  <c r="P41" i="3"/>
  <c r="Q41" i="3"/>
  <c r="R41" i="3"/>
  <c r="O42" i="3"/>
  <c r="P42" i="3"/>
  <c r="Q42" i="3"/>
  <c r="R42" i="3"/>
  <c r="O43" i="3"/>
  <c r="P43" i="3"/>
  <c r="Q43" i="3"/>
  <c r="R43" i="3"/>
  <c r="O44" i="3"/>
  <c r="P44" i="3"/>
  <c r="Q44" i="3"/>
  <c r="R44" i="3"/>
  <c r="O45" i="3"/>
  <c r="P45" i="3"/>
  <c r="Q45" i="3"/>
  <c r="R45" i="3"/>
  <c r="O46" i="3"/>
  <c r="P46" i="3"/>
  <c r="Q46" i="3"/>
  <c r="R46" i="3"/>
  <c r="O47" i="3"/>
  <c r="P47" i="3"/>
  <c r="Q47" i="3"/>
  <c r="R47" i="3"/>
  <c r="O48" i="3"/>
  <c r="P48" i="3"/>
  <c r="Q48" i="3"/>
  <c r="R48" i="3"/>
  <c r="O49" i="3"/>
  <c r="P49" i="3"/>
  <c r="Q49" i="3"/>
  <c r="R49" i="3"/>
  <c r="O50" i="3"/>
  <c r="P50" i="3"/>
  <c r="Q50" i="3"/>
  <c r="R50" i="3"/>
  <c r="O51" i="3"/>
  <c r="P51" i="3"/>
  <c r="Q51" i="3"/>
  <c r="R51" i="3"/>
  <c r="O52" i="3"/>
  <c r="P52" i="3"/>
  <c r="Q52" i="3"/>
  <c r="R52" i="3"/>
  <c r="O53" i="3"/>
  <c r="P53" i="3"/>
  <c r="Q53" i="3"/>
  <c r="R53" i="3"/>
  <c r="O54" i="3"/>
  <c r="P54" i="3"/>
  <c r="Q54" i="3"/>
  <c r="R54" i="3"/>
  <c r="O55" i="3"/>
  <c r="P55" i="3"/>
  <c r="Q55" i="3"/>
  <c r="R55" i="3"/>
  <c r="O56" i="3"/>
  <c r="P56" i="3"/>
  <c r="Q56" i="3"/>
  <c r="R56" i="3"/>
  <c r="O57" i="3"/>
  <c r="P57" i="3"/>
  <c r="Q57" i="3"/>
  <c r="R57" i="3"/>
  <c r="O58" i="3"/>
  <c r="P58" i="3"/>
  <c r="Q58" i="3"/>
  <c r="R58" i="3"/>
  <c r="O59" i="3"/>
  <c r="P59" i="3"/>
  <c r="Q59" i="3"/>
  <c r="R59" i="3"/>
  <c r="O60" i="3"/>
  <c r="P60" i="3"/>
  <c r="Q60" i="3"/>
  <c r="R60" i="3"/>
  <c r="O61" i="3"/>
  <c r="P61" i="3"/>
  <c r="Q61" i="3"/>
  <c r="R61" i="3"/>
  <c r="O62" i="3"/>
  <c r="P62" i="3"/>
  <c r="Q62" i="3"/>
  <c r="R62" i="3"/>
  <c r="O63" i="3"/>
  <c r="P63" i="3"/>
  <c r="Q63" i="3"/>
  <c r="R63" i="3"/>
  <c r="O64" i="3"/>
  <c r="P64" i="3"/>
  <c r="Q64" i="3"/>
  <c r="R64" i="3"/>
  <c r="O65" i="3"/>
  <c r="P65" i="3"/>
  <c r="Q65" i="3"/>
  <c r="R65" i="3"/>
  <c r="O66" i="3"/>
  <c r="P66" i="3"/>
  <c r="Q66" i="3"/>
  <c r="R66" i="3"/>
  <c r="O67" i="3"/>
  <c r="P67" i="3"/>
  <c r="Q67" i="3"/>
  <c r="R67" i="3"/>
  <c r="O68" i="3"/>
  <c r="P68" i="3"/>
  <c r="Q68" i="3"/>
  <c r="R68" i="3"/>
  <c r="O69" i="3"/>
  <c r="P69" i="3"/>
  <c r="Q69" i="3"/>
  <c r="R69" i="3"/>
  <c r="O70" i="3"/>
  <c r="P70" i="3"/>
  <c r="Q70" i="3"/>
  <c r="R70" i="3"/>
  <c r="O5" i="3"/>
  <c r="P5" i="3"/>
  <c r="Q5" i="3"/>
  <c r="R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5" i="3"/>
  <c r="H5" i="3"/>
  <c r="H6" i="3"/>
  <c r="I6" i="3"/>
  <c r="I71" i="3" s="1"/>
  <c r="J6" i="3"/>
  <c r="K6" i="3"/>
  <c r="L6" i="3"/>
  <c r="L71" i="3" s="1"/>
  <c r="H7" i="3"/>
  <c r="I7" i="3"/>
  <c r="J7" i="3"/>
  <c r="K7" i="3"/>
  <c r="K71" i="3" s="1"/>
  <c r="L7" i="3"/>
  <c r="H8" i="3"/>
  <c r="I8" i="3"/>
  <c r="J8" i="3"/>
  <c r="K8" i="3"/>
  <c r="L8" i="3"/>
  <c r="H9" i="3"/>
  <c r="I9" i="3"/>
  <c r="J9" i="3"/>
  <c r="K9" i="3"/>
  <c r="L9" i="3"/>
  <c r="H10" i="3"/>
  <c r="I10" i="3"/>
  <c r="J10" i="3"/>
  <c r="K10" i="3"/>
  <c r="L10" i="3"/>
  <c r="H11" i="3"/>
  <c r="H71" i="3" s="1"/>
  <c r="I11" i="3"/>
  <c r="J11" i="3"/>
  <c r="K11" i="3"/>
  <c r="L11" i="3"/>
  <c r="H12" i="3"/>
  <c r="I12" i="3"/>
  <c r="J12" i="3"/>
  <c r="K12" i="3"/>
  <c r="L12" i="3"/>
  <c r="H13" i="3"/>
  <c r="I13" i="3"/>
  <c r="J13" i="3"/>
  <c r="K13" i="3"/>
  <c r="L13" i="3"/>
  <c r="H14" i="3"/>
  <c r="I14" i="3"/>
  <c r="J14" i="3"/>
  <c r="K14" i="3"/>
  <c r="L14" i="3"/>
  <c r="H15" i="3"/>
  <c r="I15" i="3"/>
  <c r="J15" i="3"/>
  <c r="K15" i="3"/>
  <c r="L15" i="3"/>
  <c r="H16" i="3"/>
  <c r="I16" i="3"/>
  <c r="J16" i="3"/>
  <c r="K16" i="3"/>
  <c r="L16" i="3"/>
  <c r="H17" i="3"/>
  <c r="I17" i="3"/>
  <c r="J17" i="3"/>
  <c r="K17" i="3"/>
  <c r="L17" i="3"/>
  <c r="H18" i="3"/>
  <c r="I18" i="3"/>
  <c r="J18" i="3"/>
  <c r="K18" i="3"/>
  <c r="L18" i="3"/>
  <c r="H19" i="3"/>
  <c r="I19" i="3"/>
  <c r="J19" i="3"/>
  <c r="K19" i="3"/>
  <c r="L19" i="3"/>
  <c r="H20" i="3"/>
  <c r="I20" i="3"/>
  <c r="J20" i="3"/>
  <c r="K20" i="3"/>
  <c r="L20" i="3"/>
  <c r="H21" i="3"/>
  <c r="I21" i="3"/>
  <c r="J21" i="3"/>
  <c r="K21" i="3"/>
  <c r="L21" i="3"/>
  <c r="H22" i="3"/>
  <c r="I22" i="3"/>
  <c r="J22" i="3"/>
  <c r="K22" i="3"/>
  <c r="L22" i="3"/>
  <c r="H23" i="3"/>
  <c r="I23" i="3"/>
  <c r="J23" i="3"/>
  <c r="K23" i="3"/>
  <c r="L23" i="3"/>
  <c r="H24" i="3"/>
  <c r="I24" i="3"/>
  <c r="J24" i="3"/>
  <c r="K24" i="3"/>
  <c r="L24" i="3"/>
  <c r="H25" i="3"/>
  <c r="I25" i="3"/>
  <c r="J25" i="3"/>
  <c r="K25" i="3"/>
  <c r="L25" i="3"/>
  <c r="H26" i="3"/>
  <c r="I26" i="3"/>
  <c r="J26" i="3"/>
  <c r="K26" i="3"/>
  <c r="L26" i="3"/>
  <c r="H27" i="3"/>
  <c r="I27" i="3"/>
  <c r="J27" i="3"/>
  <c r="K27" i="3"/>
  <c r="L27" i="3"/>
  <c r="H28" i="3"/>
  <c r="I28" i="3"/>
  <c r="J28" i="3"/>
  <c r="K28" i="3"/>
  <c r="L28" i="3"/>
  <c r="H29" i="3"/>
  <c r="I29" i="3"/>
  <c r="J29" i="3"/>
  <c r="K29" i="3"/>
  <c r="L29" i="3"/>
  <c r="H30" i="3"/>
  <c r="I30" i="3"/>
  <c r="J30" i="3"/>
  <c r="K30" i="3"/>
  <c r="L30" i="3"/>
  <c r="H31" i="3"/>
  <c r="I31" i="3"/>
  <c r="J31" i="3"/>
  <c r="K31" i="3"/>
  <c r="L31" i="3"/>
  <c r="H32" i="3"/>
  <c r="I32" i="3"/>
  <c r="J32" i="3"/>
  <c r="K32" i="3"/>
  <c r="L32" i="3"/>
  <c r="H33" i="3"/>
  <c r="I33" i="3"/>
  <c r="J33" i="3"/>
  <c r="K33" i="3"/>
  <c r="L33" i="3"/>
  <c r="H34" i="3"/>
  <c r="I34" i="3"/>
  <c r="J34" i="3"/>
  <c r="K34" i="3"/>
  <c r="L34" i="3"/>
  <c r="H35" i="3"/>
  <c r="I35" i="3"/>
  <c r="J35" i="3"/>
  <c r="K35" i="3"/>
  <c r="L35" i="3"/>
  <c r="H36" i="3"/>
  <c r="I36" i="3"/>
  <c r="J36" i="3"/>
  <c r="K36" i="3"/>
  <c r="L36" i="3"/>
  <c r="H37" i="3"/>
  <c r="I37" i="3"/>
  <c r="J37" i="3"/>
  <c r="K37" i="3"/>
  <c r="L37" i="3"/>
  <c r="H38" i="3"/>
  <c r="I38" i="3"/>
  <c r="J38" i="3"/>
  <c r="K38" i="3"/>
  <c r="L38" i="3"/>
  <c r="H39" i="3"/>
  <c r="I39" i="3"/>
  <c r="J39" i="3"/>
  <c r="K39" i="3"/>
  <c r="L39" i="3"/>
  <c r="H40" i="3"/>
  <c r="I40" i="3"/>
  <c r="J40" i="3"/>
  <c r="K40" i="3"/>
  <c r="L40" i="3"/>
  <c r="H41" i="3"/>
  <c r="I41" i="3"/>
  <c r="J41" i="3"/>
  <c r="K41" i="3"/>
  <c r="L41" i="3"/>
  <c r="H42" i="3"/>
  <c r="I42" i="3"/>
  <c r="J42" i="3"/>
  <c r="K42" i="3"/>
  <c r="L42" i="3"/>
  <c r="H43" i="3"/>
  <c r="I43" i="3"/>
  <c r="J43" i="3"/>
  <c r="K43" i="3"/>
  <c r="L43" i="3"/>
  <c r="H44" i="3"/>
  <c r="I44" i="3"/>
  <c r="J44" i="3"/>
  <c r="K44" i="3"/>
  <c r="L44" i="3"/>
  <c r="H45" i="3"/>
  <c r="I45" i="3"/>
  <c r="J45" i="3"/>
  <c r="K45" i="3"/>
  <c r="L45" i="3"/>
  <c r="H46" i="3"/>
  <c r="I46" i="3"/>
  <c r="J46" i="3"/>
  <c r="K46" i="3"/>
  <c r="L46" i="3"/>
  <c r="H47" i="3"/>
  <c r="I47" i="3"/>
  <c r="J47" i="3"/>
  <c r="K47" i="3"/>
  <c r="L47" i="3"/>
  <c r="H48" i="3"/>
  <c r="I48" i="3"/>
  <c r="J48" i="3"/>
  <c r="K48" i="3"/>
  <c r="L48" i="3"/>
  <c r="H49" i="3"/>
  <c r="I49" i="3"/>
  <c r="J49" i="3"/>
  <c r="K49" i="3"/>
  <c r="L49" i="3"/>
  <c r="H50" i="3"/>
  <c r="I50" i="3"/>
  <c r="J50" i="3"/>
  <c r="K50" i="3"/>
  <c r="L50" i="3"/>
  <c r="H51" i="3"/>
  <c r="I51" i="3"/>
  <c r="J51" i="3"/>
  <c r="K51" i="3"/>
  <c r="L51" i="3"/>
  <c r="H52" i="3"/>
  <c r="I52" i="3"/>
  <c r="J52" i="3"/>
  <c r="K52" i="3"/>
  <c r="L52" i="3"/>
  <c r="H53" i="3"/>
  <c r="I53" i="3"/>
  <c r="J53" i="3"/>
  <c r="K53" i="3"/>
  <c r="L53" i="3"/>
  <c r="H54" i="3"/>
  <c r="I54" i="3"/>
  <c r="J54" i="3"/>
  <c r="K54" i="3"/>
  <c r="L54" i="3"/>
  <c r="H55" i="3"/>
  <c r="I55" i="3"/>
  <c r="J55" i="3"/>
  <c r="K55" i="3"/>
  <c r="L55" i="3"/>
  <c r="H56" i="3"/>
  <c r="I56" i="3"/>
  <c r="J56" i="3"/>
  <c r="K56" i="3"/>
  <c r="L56" i="3"/>
  <c r="H57" i="3"/>
  <c r="I57" i="3"/>
  <c r="J57" i="3"/>
  <c r="K57" i="3"/>
  <c r="L57" i="3"/>
  <c r="H58" i="3"/>
  <c r="I58" i="3"/>
  <c r="J58" i="3"/>
  <c r="K58" i="3"/>
  <c r="L58" i="3"/>
  <c r="H59" i="3"/>
  <c r="I59" i="3"/>
  <c r="J59" i="3"/>
  <c r="K59" i="3"/>
  <c r="L59" i="3"/>
  <c r="H60" i="3"/>
  <c r="I60" i="3"/>
  <c r="J60" i="3"/>
  <c r="K60" i="3"/>
  <c r="L60" i="3"/>
  <c r="H61" i="3"/>
  <c r="I61" i="3"/>
  <c r="J61" i="3"/>
  <c r="K61" i="3"/>
  <c r="L61" i="3"/>
  <c r="H62" i="3"/>
  <c r="I62" i="3"/>
  <c r="J62" i="3"/>
  <c r="K62" i="3"/>
  <c r="L62" i="3"/>
  <c r="H63" i="3"/>
  <c r="I63" i="3"/>
  <c r="J63" i="3"/>
  <c r="K63" i="3"/>
  <c r="L63" i="3"/>
  <c r="H64" i="3"/>
  <c r="I64" i="3"/>
  <c r="J64" i="3"/>
  <c r="K64" i="3"/>
  <c r="L64" i="3"/>
  <c r="H65" i="3"/>
  <c r="I65" i="3"/>
  <c r="J65" i="3"/>
  <c r="K65" i="3"/>
  <c r="L65" i="3"/>
  <c r="H66" i="3"/>
  <c r="I66" i="3"/>
  <c r="J66" i="3"/>
  <c r="K66" i="3"/>
  <c r="L66" i="3"/>
  <c r="H67" i="3"/>
  <c r="I67" i="3"/>
  <c r="J67" i="3"/>
  <c r="K67" i="3"/>
  <c r="L67" i="3"/>
  <c r="H68" i="3"/>
  <c r="I68" i="3"/>
  <c r="J68" i="3"/>
  <c r="K68" i="3"/>
  <c r="L68" i="3"/>
  <c r="H69" i="3"/>
  <c r="I69" i="3"/>
  <c r="J69" i="3"/>
  <c r="K69" i="3"/>
  <c r="L69" i="3"/>
  <c r="H70" i="3"/>
  <c r="I70" i="3"/>
  <c r="J70" i="3"/>
  <c r="K70" i="3"/>
  <c r="L70" i="3"/>
  <c r="I5" i="3"/>
  <c r="J5" i="3"/>
  <c r="K5" i="3"/>
  <c r="L5" i="3"/>
  <c r="J71" i="3" l="1"/>
</calcChain>
</file>

<file path=xl/sharedStrings.xml><?xml version="1.0" encoding="utf-8"?>
<sst xmlns="http://schemas.openxmlformats.org/spreadsheetml/2006/main" count="12" uniqueCount="6">
  <si>
    <t>DJIA</t>
  </si>
  <si>
    <t>FTSE 100</t>
  </si>
  <si>
    <t>DJ Asian Titans 50</t>
  </si>
  <si>
    <t>DAX</t>
  </si>
  <si>
    <t>Russell 2000</t>
  </si>
  <si>
    <t>Monthly Adjusted Closing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</si>
</sst>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15" fontId="0" fillId="0" borderId="0" xfId="0" applyNumberFormat="1"/>
    <xf numFmtId="4" fontId="0" fillId="0" borderId="0" xfId="0" applyNumberFormat="1"/>
    <xf numFmtId="0" fontId="2" fillId="0" borderId="0" xfId="0" applyFont="1"/>
    <xf numFmtId="4" fontId="2" fillId="0" borderId="0" xfId="0" applyNumberFormat="1" applyFont="1"/>
    <xf numFmtId="3" fontId="2" fillId="0" borderId="0" xfId="0" applyNumberFormat="1" applyFont="1"/>
    <xf numFmtId="15" fontId="2" fillId="0" borderId="0" xfId="0" applyNumberFormat="1" applyFont="1"/>
    <xf numFmtId="4" fontId="1" fillId="2" borderId="5" xfId="1" applyNumberFormat="1" applyBorder="1"/>
    <xf numFmtId="4" fontId="1" fillId="2" borderId="0" xfId="1" applyNumberFormat="1" applyBorder="1"/>
    <xf numFmtId="0" fontId="1" fillId="2" borderId="0" xfId="1" applyBorder="1"/>
    <xf numFmtId="0" fontId="1" fillId="2" borderId="1" xfId="1" applyBorder="1"/>
    <xf numFmtId="4" fontId="1" fillId="2" borderId="3" xfId="1" applyNumberFormat="1" applyBorder="1"/>
    <xf numFmtId="4" fontId="1" fillId="2" borderId="1" xfId="1" applyNumberFormat="1" applyBorder="1"/>
    <xf numFmtId="4" fontId="1" fillId="2" borderId="6" xfId="1" applyNumberFormat="1" applyBorder="1"/>
    <xf numFmtId="0" fontId="1" fillId="2" borderId="6" xfId="1" applyBorder="1"/>
    <xf numFmtId="4" fontId="1" fillId="2" borderId="7" xfId="1" applyNumberFormat="1" applyBorder="1"/>
    <xf numFmtId="4" fontId="1" fillId="2" borderId="2" xfId="1" applyNumberFormat="1" applyBorder="1"/>
    <xf numFmtId="0" fontId="1" fillId="2" borderId="2" xfId="1" applyBorder="1"/>
    <xf numFmtId="0" fontId="1" fillId="2" borderId="4" xfId="1" applyBorder="1"/>
    <xf numFmtId="4" fontId="1" fillId="2" borderId="8" xfId="1" applyNumberFormat="1" applyBorder="1"/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4" fontId="1" fillId="2" borderId="4" xfId="1" applyNumberFormat="1" applyBorder="1"/>
    <xf numFmtId="0" fontId="1" fillId="2" borderId="8" xfId="1" applyBorder="1"/>
  </cellXfs>
  <cellStyles count="2">
    <cellStyle name="20% - Accent3" xfId="1" builtinId="3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0"/>
  <sheetViews>
    <sheetView tabSelected="1" zoomScale="85" zoomScaleNormal="85" zoomScalePageLayoutView="130" workbookViewId="0">
      <selection activeCell="B15" sqref="B15"/>
    </sheetView>
  </sheetViews>
  <sheetFormatPr defaultColWidth="11" defaultRowHeight="15.75" x14ac:dyDescent="0.25"/>
  <cols>
    <col min="1" max="1" width="16.25" bestFit="1" customWidth="1"/>
    <col min="2" max="2" width="12.25" bestFit="1" customWidth="1"/>
    <col min="3" max="3" width="16.375" bestFit="1" customWidth="1"/>
    <col min="4" max="5" width="16.25" bestFit="1" customWidth="1"/>
    <col min="6" max="6" width="11.5" bestFit="1" customWidth="1"/>
  </cols>
  <sheetData>
    <row r="1" spans="1:7" ht="16.5" thickBot="1" x14ac:dyDescent="0.3">
      <c r="A1" s="20" t="s">
        <v>5</v>
      </c>
      <c r="B1" s="21"/>
      <c r="C1" s="21"/>
      <c r="D1" s="21"/>
      <c r="E1" s="21"/>
      <c r="F1" s="22"/>
    </row>
    <row r="3" spans="1:7" ht="16.5" thickBot="1" x14ac:dyDescent="0.3">
      <c r="B3" s="3" t="s">
        <v>1</v>
      </c>
      <c r="C3" s="3" t="s">
        <v>3</v>
      </c>
      <c r="D3" s="4" t="s">
        <v>0</v>
      </c>
      <c r="E3" s="4" t="s">
        <v>2</v>
      </c>
      <c r="F3" s="5" t="s">
        <v>4</v>
      </c>
      <c r="G3" s="2"/>
    </row>
    <row r="4" spans="1:7" x14ac:dyDescent="0.25">
      <c r="A4" s="6">
        <v>42522</v>
      </c>
      <c r="B4" s="11">
        <v>5966.8</v>
      </c>
      <c r="C4" s="12">
        <v>9606.7099999999991</v>
      </c>
      <c r="D4" s="12">
        <v>17640.169999999998</v>
      </c>
      <c r="E4" s="10">
        <v>126.91</v>
      </c>
      <c r="F4" s="23">
        <v>1149.3</v>
      </c>
      <c r="G4" s="2"/>
    </row>
    <row r="5" spans="1:7" x14ac:dyDescent="0.25">
      <c r="A5" s="6">
        <v>42493</v>
      </c>
      <c r="B5" s="7">
        <v>6230.8</v>
      </c>
      <c r="C5" s="8">
        <v>10262.74</v>
      </c>
      <c r="D5" s="8">
        <v>17787.2</v>
      </c>
      <c r="E5" s="9">
        <v>129.05000000000001</v>
      </c>
      <c r="F5" s="13">
        <v>1154.79</v>
      </c>
      <c r="G5" s="2"/>
    </row>
    <row r="6" spans="1:7" x14ac:dyDescent="0.25">
      <c r="A6" s="6">
        <v>42461</v>
      </c>
      <c r="B6" s="7">
        <v>6241.9</v>
      </c>
      <c r="C6" s="8">
        <v>10038.969999999999</v>
      </c>
      <c r="D6" s="8">
        <v>17773.64</v>
      </c>
      <c r="E6" s="9">
        <v>130.88</v>
      </c>
      <c r="F6" s="13">
        <v>1130.8499999999999</v>
      </c>
      <c r="G6" s="2"/>
    </row>
    <row r="7" spans="1:7" x14ac:dyDescent="0.25">
      <c r="A7" s="6">
        <v>42430</v>
      </c>
      <c r="B7" s="7">
        <v>6174.9</v>
      </c>
      <c r="C7" s="8">
        <v>9965.51</v>
      </c>
      <c r="D7" s="8">
        <v>17685.09</v>
      </c>
      <c r="E7" s="9">
        <v>128.63999999999999</v>
      </c>
      <c r="F7" s="13">
        <v>1114.03</v>
      </c>
      <c r="G7" s="2"/>
    </row>
    <row r="8" spans="1:7" x14ac:dyDescent="0.25">
      <c r="A8" s="6">
        <v>42401</v>
      </c>
      <c r="B8" s="7">
        <v>6097.1</v>
      </c>
      <c r="C8" s="8">
        <v>9495.4</v>
      </c>
      <c r="D8" s="8">
        <v>16516.5</v>
      </c>
      <c r="E8" s="9">
        <v>119.01</v>
      </c>
      <c r="F8" s="13">
        <v>1033.9000000000001</v>
      </c>
      <c r="G8" s="2"/>
    </row>
    <row r="9" spans="1:7" x14ac:dyDescent="0.25">
      <c r="A9" s="6">
        <v>42373</v>
      </c>
      <c r="B9" s="7">
        <v>6083.8</v>
      </c>
      <c r="C9" s="8">
        <v>9798.11</v>
      </c>
      <c r="D9" s="8">
        <v>16466.3</v>
      </c>
      <c r="E9" s="9">
        <v>123.84</v>
      </c>
      <c r="F9" s="13">
        <v>1035.3800000000001</v>
      </c>
      <c r="G9" s="2"/>
    </row>
    <row r="10" spans="1:7" x14ac:dyDescent="0.25">
      <c r="A10" s="6">
        <v>42339</v>
      </c>
      <c r="B10" s="7">
        <v>6242.3</v>
      </c>
      <c r="C10" s="8">
        <v>10743.01</v>
      </c>
      <c r="D10" s="8">
        <v>17425.03</v>
      </c>
      <c r="E10" s="9">
        <v>136.26</v>
      </c>
      <c r="F10" s="13">
        <v>1135.8900000000001</v>
      </c>
      <c r="G10" s="2"/>
    </row>
    <row r="11" spans="1:7" x14ac:dyDescent="0.25">
      <c r="A11" s="6">
        <v>42310</v>
      </c>
      <c r="B11" s="7">
        <v>6356.1</v>
      </c>
      <c r="C11" s="8">
        <v>11382.23</v>
      </c>
      <c r="D11" s="8">
        <v>17719.919999999998</v>
      </c>
      <c r="E11" s="9">
        <v>135.09</v>
      </c>
      <c r="F11" s="13">
        <v>1198.1099999999999</v>
      </c>
      <c r="G11" s="2"/>
    </row>
    <row r="12" spans="1:7" x14ac:dyDescent="0.25">
      <c r="A12" s="6">
        <v>42278</v>
      </c>
      <c r="B12" s="7">
        <v>6361.1</v>
      </c>
      <c r="C12" s="8">
        <v>10850.14</v>
      </c>
      <c r="D12" s="8">
        <v>17663.54</v>
      </c>
      <c r="E12" s="9">
        <v>138.19</v>
      </c>
      <c r="F12" s="13">
        <v>1161.8599999999999</v>
      </c>
      <c r="G12" s="2"/>
    </row>
    <row r="13" spans="1:7" x14ac:dyDescent="0.25">
      <c r="A13" s="6">
        <v>42248</v>
      </c>
      <c r="B13" s="7">
        <v>6061.6</v>
      </c>
      <c r="C13" s="8">
        <v>9660.44</v>
      </c>
      <c r="D13" s="8">
        <v>16284.7</v>
      </c>
      <c r="E13" s="9">
        <v>125.86</v>
      </c>
      <c r="F13" s="13">
        <v>1100.69</v>
      </c>
      <c r="G13" s="2"/>
    </row>
    <row r="14" spans="1:7" x14ac:dyDescent="0.25">
      <c r="A14" s="6">
        <v>42219</v>
      </c>
      <c r="B14" s="7">
        <v>6247.9</v>
      </c>
      <c r="C14" s="8">
        <v>10259.459999999999</v>
      </c>
      <c r="D14" s="8">
        <v>16528.03</v>
      </c>
      <c r="E14" s="9">
        <v>133.6</v>
      </c>
      <c r="F14" s="13">
        <v>1159.45</v>
      </c>
      <c r="G14" s="2"/>
    </row>
    <row r="15" spans="1:7" x14ac:dyDescent="0.25">
      <c r="A15" s="6">
        <v>42186</v>
      </c>
      <c r="B15" s="7">
        <v>6696.3</v>
      </c>
      <c r="C15" s="8">
        <v>11308.99</v>
      </c>
      <c r="D15" s="8">
        <v>17689.86</v>
      </c>
      <c r="E15" s="9">
        <v>147.08000000000001</v>
      </c>
      <c r="F15" s="13">
        <v>1238.68</v>
      </c>
      <c r="G15" s="2"/>
    </row>
    <row r="16" spans="1:7" x14ac:dyDescent="0.25">
      <c r="A16" s="6">
        <v>42156</v>
      </c>
      <c r="B16" s="7">
        <v>6521</v>
      </c>
      <c r="C16" s="8">
        <v>10944.97</v>
      </c>
      <c r="D16" s="8">
        <v>17619.509999999998</v>
      </c>
      <c r="E16" s="9">
        <v>151.47</v>
      </c>
      <c r="F16" s="13">
        <v>1253.95</v>
      </c>
      <c r="G16" s="2"/>
    </row>
    <row r="17" spans="1:7" x14ac:dyDescent="0.25">
      <c r="A17" s="6">
        <v>42125</v>
      </c>
      <c r="B17" s="7">
        <v>6984.4</v>
      </c>
      <c r="C17" s="8">
        <v>11413.82</v>
      </c>
      <c r="D17" s="8">
        <v>18010.68</v>
      </c>
      <c r="E17" s="9">
        <v>156.46</v>
      </c>
      <c r="F17" s="13">
        <v>1246.53</v>
      </c>
      <c r="G17" s="2"/>
    </row>
    <row r="18" spans="1:7" x14ac:dyDescent="0.25">
      <c r="A18" s="6">
        <v>42095</v>
      </c>
      <c r="B18" s="7">
        <v>6960.6</v>
      </c>
      <c r="C18" s="8">
        <v>11454.38</v>
      </c>
      <c r="D18" s="8">
        <v>17840.52</v>
      </c>
      <c r="E18" s="9">
        <v>159.51</v>
      </c>
      <c r="F18" s="13">
        <v>1220.1300000000001</v>
      </c>
      <c r="G18" s="2"/>
    </row>
    <row r="19" spans="1:7" x14ac:dyDescent="0.25">
      <c r="A19" s="6">
        <v>42065</v>
      </c>
      <c r="B19" s="7">
        <v>6773</v>
      </c>
      <c r="C19" s="8">
        <v>11966.17</v>
      </c>
      <c r="D19" s="8">
        <v>17776.12</v>
      </c>
      <c r="E19" s="9">
        <v>151.66999999999999</v>
      </c>
      <c r="F19" s="13">
        <v>1252.77</v>
      </c>
      <c r="G19" s="2"/>
    </row>
    <row r="20" spans="1:7" x14ac:dyDescent="0.25">
      <c r="A20" s="6">
        <v>42037</v>
      </c>
      <c r="B20" s="7">
        <v>6946.7</v>
      </c>
      <c r="C20" s="8">
        <v>11401.66</v>
      </c>
      <c r="D20" s="8">
        <v>18132.7</v>
      </c>
      <c r="E20" s="9">
        <v>151.88</v>
      </c>
      <c r="F20" s="13">
        <v>1233.3699999999999</v>
      </c>
      <c r="G20" s="2"/>
    </row>
    <row r="21" spans="1:7" x14ac:dyDescent="0.25">
      <c r="A21" s="6">
        <v>42006</v>
      </c>
      <c r="B21" s="7">
        <v>6749.4</v>
      </c>
      <c r="C21" s="8">
        <v>10694.32</v>
      </c>
      <c r="D21" s="8">
        <v>17164.95</v>
      </c>
      <c r="E21" s="9">
        <v>143.97</v>
      </c>
      <c r="F21" s="13">
        <v>1165.3900000000001</v>
      </c>
      <c r="G21" s="2"/>
    </row>
    <row r="22" spans="1:7" x14ac:dyDescent="0.25">
      <c r="A22" s="6">
        <v>41974</v>
      </c>
      <c r="B22" s="7">
        <v>6566.1</v>
      </c>
      <c r="C22" s="8">
        <v>9805.5499999999993</v>
      </c>
      <c r="D22" s="8">
        <v>17823.07</v>
      </c>
      <c r="E22" s="9">
        <v>142.21</v>
      </c>
      <c r="F22" s="13">
        <v>1204.7</v>
      </c>
      <c r="G22" s="2"/>
    </row>
    <row r="23" spans="1:7" x14ac:dyDescent="0.25">
      <c r="A23" s="6">
        <v>41946</v>
      </c>
      <c r="B23" s="7">
        <v>6722.6</v>
      </c>
      <c r="C23" s="8">
        <v>9980.85</v>
      </c>
      <c r="D23" s="8">
        <v>17828.240000000002</v>
      </c>
      <c r="E23" s="9">
        <v>145.07</v>
      </c>
      <c r="F23" s="13">
        <v>1173.23</v>
      </c>
      <c r="G23" s="2"/>
    </row>
    <row r="24" spans="1:7" x14ac:dyDescent="0.25">
      <c r="A24" s="6">
        <v>41913</v>
      </c>
      <c r="B24" s="7">
        <v>6546.5</v>
      </c>
      <c r="C24" s="8">
        <v>9326.8700000000008</v>
      </c>
      <c r="D24" s="8">
        <v>17390.52</v>
      </c>
      <c r="E24" s="9">
        <v>147.76</v>
      </c>
      <c r="F24" s="13">
        <v>1173.51</v>
      </c>
      <c r="G24" s="2"/>
    </row>
    <row r="25" spans="1:7" x14ac:dyDescent="0.25">
      <c r="A25" s="6">
        <v>41883</v>
      </c>
      <c r="B25" s="7">
        <v>6622.7</v>
      </c>
      <c r="C25" s="8">
        <v>9474.2999999999993</v>
      </c>
      <c r="D25" s="8">
        <v>17042.900000000001</v>
      </c>
      <c r="E25" s="9">
        <v>144.94</v>
      </c>
      <c r="F25" s="13">
        <v>1101.68</v>
      </c>
      <c r="G25" s="2"/>
    </row>
    <row r="26" spans="1:7" x14ac:dyDescent="0.25">
      <c r="A26" s="6">
        <v>41852</v>
      </c>
      <c r="B26" s="7">
        <v>6819.8</v>
      </c>
      <c r="C26" s="8">
        <v>9470.17</v>
      </c>
      <c r="D26" s="8">
        <v>17098.45</v>
      </c>
      <c r="E26" s="9">
        <v>154.47999999999999</v>
      </c>
      <c r="F26" s="13">
        <v>1174.3499999999999</v>
      </c>
      <c r="G26" s="2"/>
    </row>
    <row r="27" spans="1:7" x14ac:dyDescent="0.25">
      <c r="A27" s="6">
        <v>41821</v>
      </c>
      <c r="B27" s="7">
        <v>6730.1</v>
      </c>
      <c r="C27" s="8">
        <v>9407.48</v>
      </c>
      <c r="D27" s="8">
        <v>16563.3</v>
      </c>
      <c r="E27" s="9">
        <v>157.04</v>
      </c>
      <c r="F27" s="13">
        <v>1120.07</v>
      </c>
      <c r="G27" s="2"/>
    </row>
    <row r="28" spans="1:7" x14ac:dyDescent="0.25">
      <c r="A28" s="6">
        <v>41792</v>
      </c>
      <c r="B28" s="7">
        <v>6743.9</v>
      </c>
      <c r="C28" s="8">
        <v>9833.07</v>
      </c>
      <c r="D28" s="8">
        <v>16826.599999999999</v>
      </c>
      <c r="E28" s="9">
        <v>153.93</v>
      </c>
      <c r="F28" s="13">
        <v>1192.96</v>
      </c>
      <c r="G28" s="2"/>
    </row>
    <row r="29" spans="1:7" x14ac:dyDescent="0.25">
      <c r="A29" s="6">
        <v>41760</v>
      </c>
      <c r="B29" s="7">
        <v>6844.5</v>
      </c>
      <c r="C29" s="8">
        <v>9943.27</v>
      </c>
      <c r="D29" s="8">
        <v>16717.169999999998</v>
      </c>
      <c r="E29" s="9">
        <v>150.88999999999999</v>
      </c>
      <c r="F29" s="13">
        <v>1134.5</v>
      </c>
      <c r="G29" s="2"/>
    </row>
    <row r="30" spans="1:7" x14ac:dyDescent="0.25">
      <c r="A30" s="6">
        <v>41730</v>
      </c>
      <c r="B30" s="7">
        <v>6780</v>
      </c>
      <c r="C30" s="8">
        <v>9603.23</v>
      </c>
      <c r="D30" s="8">
        <v>16580.84</v>
      </c>
      <c r="E30" s="9">
        <v>146.08000000000001</v>
      </c>
      <c r="F30" s="13">
        <v>1126.8599999999999</v>
      </c>
      <c r="G30" s="2"/>
    </row>
    <row r="31" spans="1:7" x14ac:dyDescent="0.25">
      <c r="A31" s="6">
        <v>41701</v>
      </c>
      <c r="B31" s="7">
        <v>6598.4</v>
      </c>
      <c r="C31" s="8">
        <v>9555.91</v>
      </c>
      <c r="D31" s="8">
        <v>16457.66</v>
      </c>
      <c r="E31" s="9">
        <v>146.93</v>
      </c>
      <c r="F31" s="13">
        <v>1173.04</v>
      </c>
      <c r="G31" s="2"/>
    </row>
    <row r="32" spans="1:7" x14ac:dyDescent="0.25">
      <c r="A32" s="6">
        <v>41673</v>
      </c>
      <c r="B32" s="7">
        <v>6809.7</v>
      </c>
      <c r="C32" s="8">
        <v>9692.08</v>
      </c>
      <c r="D32" s="8">
        <v>16321.71</v>
      </c>
      <c r="E32" s="9">
        <v>146.84</v>
      </c>
      <c r="F32" s="13">
        <v>1183.03</v>
      </c>
      <c r="G32" s="2"/>
    </row>
    <row r="33" spans="1:7" x14ac:dyDescent="0.25">
      <c r="A33" s="6">
        <v>41640</v>
      </c>
      <c r="B33" s="7">
        <v>6510.4</v>
      </c>
      <c r="C33" s="8">
        <v>9306.48</v>
      </c>
      <c r="D33" s="8">
        <v>15698.85</v>
      </c>
      <c r="E33" s="9">
        <v>143.36000000000001</v>
      </c>
      <c r="F33" s="13">
        <v>1130.8800000000001</v>
      </c>
      <c r="G33" s="2"/>
    </row>
    <row r="34" spans="1:7" x14ac:dyDescent="0.25">
      <c r="A34" s="6">
        <v>41610</v>
      </c>
      <c r="B34" s="7">
        <v>6749.1</v>
      </c>
      <c r="C34" s="8">
        <v>9552.16</v>
      </c>
      <c r="D34" s="8">
        <v>16576.66</v>
      </c>
      <c r="E34" s="9">
        <v>152.19</v>
      </c>
      <c r="F34" s="13">
        <v>1163.6400000000001</v>
      </c>
      <c r="G34" s="2"/>
    </row>
    <row r="35" spans="1:7" x14ac:dyDescent="0.25">
      <c r="A35" s="6">
        <v>41579</v>
      </c>
      <c r="B35" s="7">
        <v>6650.6</v>
      </c>
      <c r="C35" s="8">
        <v>9405.2999999999993</v>
      </c>
      <c r="D35" s="8">
        <v>16086.41</v>
      </c>
      <c r="E35" s="9">
        <v>153.91999999999999</v>
      </c>
      <c r="F35" s="13">
        <v>1142.8900000000001</v>
      </c>
      <c r="G35" s="2"/>
    </row>
    <row r="36" spans="1:7" x14ac:dyDescent="0.25">
      <c r="A36" s="6">
        <v>41548</v>
      </c>
      <c r="B36" s="7">
        <v>6731.4</v>
      </c>
      <c r="C36" s="8">
        <v>9033.92</v>
      </c>
      <c r="D36" s="8">
        <v>15545.75</v>
      </c>
      <c r="E36" s="9">
        <v>154.22999999999999</v>
      </c>
      <c r="F36" s="13">
        <v>1100.1500000000001</v>
      </c>
      <c r="G36" s="2"/>
    </row>
    <row r="37" spans="1:7" x14ac:dyDescent="0.25">
      <c r="A37" s="6">
        <v>41519</v>
      </c>
      <c r="B37" s="7">
        <v>6462.2</v>
      </c>
      <c r="C37" s="8">
        <v>8594.4</v>
      </c>
      <c r="D37" s="8">
        <v>15129.67</v>
      </c>
      <c r="E37" s="9">
        <v>150.03</v>
      </c>
      <c r="F37" s="13">
        <v>1073.79</v>
      </c>
      <c r="G37" s="2"/>
    </row>
    <row r="38" spans="1:7" x14ac:dyDescent="0.25">
      <c r="A38" s="6">
        <v>41487</v>
      </c>
      <c r="B38" s="7">
        <v>6412.9</v>
      </c>
      <c r="C38" s="8">
        <v>8103.15</v>
      </c>
      <c r="D38" s="8">
        <v>14810.31</v>
      </c>
      <c r="E38" s="9">
        <v>141.77000000000001</v>
      </c>
      <c r="F38" s="13">
        <v>1010.9</v>
      </c>
      <c r="G38" s="2"/>
    </row>
    <row r="39" spans="1:7" x14ac:dyDescent="0.25">
      <c r="A39" s="6">
        <v>41456</v>
      </c>
      <c r="B39" s="7">
        <v>6621.1</v>
      </c>
      <c r="C39" s="8">
        <v>8275.9699999999993</v>
      </c>
      <c r="D39" s="8">
        <v>15499.54</v>
      </c>
      <c r="E39" s="9">
        <v>141.99</v>
      </c>
      <c r="F39" s="13">
        <v>1045.26</v>
      </c>
      <c r="G39" s="2"/>
    </row>
    <row r="40" spans="1:7" x14ac:dyDescent="0.25">
      <c r="A40" s="6">
        <v>41428</v>
      </c>
      <c r="B40" s="7">
        <v>6215.5</v>
      </c>
      <c r="C40" s="8">
        <v>7959.22</v>
      </c>
      <c r="D40" s="8">
        <v>14909.6</v>
      </c>
      <c r="E40" s="9">
        <v>139.33000000000001</v>
      </c>
      <c r="F40" s="14">
        <v>977.48</v>
      </c>
      <c r="G40" s="2"/>
    </row>
    <row r="41" spans="1:7" x14ac:dyDescent="0.25">
      <c r="A41" s="6">
        <v>41395</v>
      </c>
      <c r="B41" s="7">
        <v>6583.1</v>
      </c>
      <c r="C41" s="8">
        <v>8348.84</v>
      </c>
      <c r="D41" s="8">
        <v>15115.57</v>
      </c>
      <c r="E41" s="9">
        <v>143.13999999999999</v>
      </c>
      <c r="F41" s="14">
        <v>984.15</v>
      </c>
      <c r="G41" s="2"/>
    </row>
    <row r="42" spans="1:7" x14ac:dyDescent="0.25">
      <c r="A42" s="6">
        <v>41365</v>
      </c>
      <c r="B42" s="7">
        <v>6430.1</v>
      </c>
      <c r="C42" s="8">
        <v>7913.71</v>
      </c>
      <c r="D42" s="8">
        <v>14839.8</v>
      </c>
      <c r="E42" s="9">
        <v>153.93</v>
      </c>
      <c r="F42" s="14">
        <v>947.46</v>
      </c>
      <c r="G42" s="2"/>
    </row>
    <row r="43" spans="1:7" x14ac:dyDescent="0.25">
      <c r="A43" s="6">
        <v>41334</v>
      </c>
      <c r="B43" s="7">
        <v>6411.7</v>
      </c>
      <c r="C43" s="8">
        <v>7795.31</v>
      </c>
      <c r="D43" s="8">
        <v>14578.54</v>
      </c>
      <c r="E43" s="9">
        <v>145.71</v>
      </c>
      <c r="F43" s="14">
        <v>951.54</v>
      </c>
      <c r="G43" s="2"/>
    </row>
    <row r="44" spans="1:7" x14ac:dyDescent="0.25">
      <c r="A44" s="6">
        <v>41306</v>
      </c>
      <c r="B44" s="7">
        <v>6360.8</v>
      </c>
      <c r="C44" s="8">
        <v>7741.7</v>
      </c>
      <c r="D44" s="8">
        <v>14054.49</v>
      </c>
      <c r="E44" s="9">
        <v>146.87</v>
      </c>
      <c r="F44" s="14">
        <v>911.11</v>
      </c>
      <c r="G44" s="2"/>
    </row>
    <row r="45" spans="1:7" x14ac:dyDescent="0.25">
      <c r="A45" s="6">
        <v>41275</v>
      </c>
      <c r="B45" s="7">
        <v>6276.9</v>
      </c>
      <c r="C45" s="8">
        <v>7776.05</v>
      </c>
      <c r="D45" s="8">
        <v>13860.58</v>
      </c>
      <c r="E45" s="9">
        <v>144.74</v>
      </c>
      <c r="F45" s="14">
        <v>902.09</v>
      </c>
      <c r="G45" s="2"/>
    </row>
    <row r="46" spans="1:7" x14ac:dyDescent="0.25">
      <c r="A46" s="6">
        <v>41246</v>
      </c>
      <c r="B46" s="7">
        <v>5897.8</v>
      </c>
      <c r="C46" s="8">
        <v>7612.39</v>
      </c>
      <c r="D46" s="8">
        <v>13104.14</v>
      </c>
      <c r="E46" s="9">
        <v>140.11000000000001</v>
      </c>
      <c r="F46" s="14">
        <v>849.35</v>
      </c>
      <c r="G46" s="2"/>
    </row>
    <row r="47" spans="1:7" x14ac:dyDescent="0.25">
      <c r="A47" s="6">
        <v>41214</v>
      </c>
      <c r="B47" s="7">
        <v>5866.8</v>
      </c>
      <c r="C47" s="8">
        <v>7405.5</v>
      </c>
      <c r="D47" s="8">
        <v>13025.58</v>
      </c>
      <c r="E47" s="9">
        <v>133.72</v>
      </c>
      <c r="F47" s="14">
        <v>821.92</v>
      </c>
      <c r="G47" s="2"/>
    </row>
    <row r="48" spans="1:7" x14ac:dyDescent="0.25">
      <c r="A48" s="6">
        <v>41183</v>
      </c>
      <c r="B48" s="7">
        <v>5782.7</v>
      </c>
      <c r="C48" s="8">
        <v>7260.63</v>
      </c>
      <c r="D48" s="8">
        <v>13096.46</v>
      </c>
      <c r="E48" s="9">
        <v>129.82</v>
      </c>
      <c r="F48" s="14">
        <v>818.73</v>
      </c>
      <c r="G48" s="2"/>
    </row>
    <row r="49" spans="1:7" x14ac:dyDescent="0.25">
      <c r="A49" s="6">
        <v>41155</v>
      </c>
      <c r="B49" s="7">
        <v>5742.1</v>
      </c>
      <c r="C49" s="8">
        <v>7216.15</v>
      </c>
      <c r="D49" s="8">
        <v>13437.13</v>
      </c>
      <c r="E49" s="9">
        <v>130</v>
      </c>
      <c r="F49" s="14">
        <v>837.45</v>
      </c>
      <c r="G49" s="2"/>
    </row>
    <row r="50" spans="1:7" x14ac:dyDescent="0.25">
      <c r="A50" s="6">
        <v>41122</v>
      </c>
      <c r="B50" s="7">
        <v>5711.5</v>
      </c>
      <c r="C50" s="8">
        <v>6970.79</v>
      </c>
      <c r="D50" s="8">
        <v>13090.84</v>
      </c>
      <c r="E50" s="9">
        <v>126.14</v>
      </c>
      <c r="F50" s="14">
        <v>812.09</v>
      </c>
      <c r="G50" s="2"/>
    </row>
    <row r="51" spans="1:7" x14ac:dyDescent="0.25">
      <c r="A51" s="6">
        <v>41092</v>
      </c>
      <c r="B51" s="7">
        <v>5635.3</v>
      </c>
      <c r="C51" s="8">
        <v>6772.26</v>
      </c>
      <c r="D51" s="8">
        <v>13008.68</v>
      </c>
      <c r="E51" s="9">
        <v>128.25</v>
      </c>
      <c r="F51" s="14">
        <v>786.94</v>
      </c>
      <c r="G51" s="2"/>
    </row>
    <row r="52" spans="1:7" x14ac:dyDescent="0.25">
      <c r="A52" s="6">
        <v>41061</v>
      </c>
      <c r="B52" s="7">
        <v>5571.2</v>
      </c>
      <c r="C52" s="8">
        <v>6416.28</v>
      </c>
      <c r="D52" s="8">
        <v>12880.09</v>
      </c>
      <c r="E52" s="9">
        <v>124.89</v>
      </c>
      <c r="F52" s="14">
        <v>798.49</v>
      </c>
      <c r="G52" s="2"/>
    </row>
    <row r="53" spans="1:7" x14ac:dyDescent="0.25">
      <c r="A53" s="6">
        <v>41030</v>
      </c>
      <c r="B53" s="7">
        <v>5320.9</v>
      </c>
      <c r="C53" s="8">
        <v>6264.38</v>
      </c>
      <c r="D53" s="8">
        <v>12393.45</v>
      </c>
      <c r="E53" s="9">
        <v>118.89</v>
      </c>
      <c r="F53" s="14">
        <v>761.82</v>
      </c>
      <c r="G53" s="2"/>
    </row>
    <row r="54" spans="1:7" x14ac:dyDescent="0.25">
      <c r="A54" s="6">
        <v>41001</v>
      </c>
      <c r="B54" s="7">
        <v>5737.8</v>
      </c>
      <c r="C54" s="8">
        <v>6761.19</v>
      </c>
      <c r="D54" s="8">
        <v>13213.63</v>
      </c>
      <c r="E54" s="9">
        <v>133.38999999999999</v>
      </c>
      <c r="F54" s="14">
        <v>816.88</v>
      </c>
      <c r="G54" s="2"/>
    </row>
    <row r="55" spans="1:7" x14ac:dyDescent="0.25">
      <c r="A55" s="6">
        <v>40969</v>
      </c>
      <c r="B55" s="7">
        <v>5768.5</v>
      </c>
      <c r="C55" s="8">
        <v>6946.83</v>
      </c>
      <c r="D55" s="8">
        <v>13212.04</v>
      </c>
      <c r="E55" s="9">
        <v>133.4</v>
      </c>
      <c r="F55" s="14">
        <v>830.3</v>
      </c>
      <c r="G55" s="2"/>
    </row>
    <row r="56" spans="1:7" x14ac:dyDescent="0.25">
      <c r="A56" s="6">
        <v>40940</v>
      </c>
      <c r="B56" s="7">
        <v>5871.5</v>
      </c>
      <c r="C56" s="8">
        <v>6856.08</v>
      </c>
      <c r="D56" s="8">
        <v>12952.07</v>
      </c>
      <c r="E56" s="9">
        <v>135.84</v>
      </c>
      <c r="F56" s="14">
        <v>810.94</v>
      </c>
      <c r="G56" s="2"/>
    </row>
    <row r="57" spans="1:7" x14ac:dyDescent="0.25">
      <c r="A57" s="6">
        <v>40910</v>
      </c>
      <c r="B57" s="7">
        <v>5681.6</v>
      </c>
      <c r="C57" s="8">
        <v>6458.91</v>
      </c>
      <c r="D57" s="8">
        <v>12632.91</v>
      </c>
      <c r="E57" s="9">
        <v>129.47999999999999</v>
      </c>
      <c r="F57" s="14">
        <v>792.82</v>
      </c>
      <c r="G57" s="2"/>
    </row>
    <row r="58" spans="1:7" x14ac:dyDescent="0.25">
      <c r="A58" s="6">
        <v>40878</v>
      </c>
      <c r="B58" s="7">
        <v>5572.3</v>
      </c>
      <c r="C58" s="8">
        <v>5898.35</v>
      </c>
      <c r="D58" s="8">
        <v>12217.56</v>
      </c>
      <c r="E58" s="9">
        <v>119.3</v>
      </c>
      <c r="F58" s="14">
        <v>740.92</v>
      </c>
      <c r="G58" s="2"/>
    </row>
    <row r="59" spans="1:7" x14ac:dyDescent="0.25">
      <c r="A59" s="6">
        <v>40848</v>
      </c>
      <c r="B59" s="7">
        <v>5505.4</v>
      </c>
      <c r="C59" s="8">
        <v>6088.84</v>
      </c>
      <c r="D59" s="8">
        <v>12045.68</v>
      </c>
      <c r="E59" s="9">
        <v>118.73</v>
      </c>
      <c r="F59" s="14">
        <v>737.42</v>
      </c>
      <c r="G59" s="2"/>
    </row>
    <row r="60" spans="1:7" x14ac:dyDescent="0.25">
      <c r="A60" s="6">
        <v>40819</v>
      </c>
      <c r="B60" s="7">
        <v>5544.2</v>
      </c>
      <c r="C60" s="8">
        <v>6141.34</v>
      </c>
      <c r="D60" s="8">
        <v>11955.01</v>
      </c>
      <c r="E60" s="9">
        <v>126.52</v>
      </c>
      <c r="F60" s="14">
        <v>741.06</v>
      </c>
      <c r="G60" s="2"/>
    </row>
    <row r="61" spans="1:7" x14ac:dyDescent="0.25">
      <c r="A61" s="6">
        <v>40787</v>
      </c>
      <c r="B61" s="7">
        <v>5128.5</v>
      </c>
      <c r="C61" s="8">
        <v>5502.02</v>
      </c>
      <c r="D61" s="8">
        <v>10913.38</v>
      </c>
      <c r="E61" s="9">
        <v>116.08</v>
      </c>
      <c r="F61" s="14">
        <v>644.16</v>
      </c>
      <c r="G61" s="2"/>
    </row>
    <row r="62" spans="1:7" x14ac:dyDescent="0.25">
      <c r="A62" s="6">
        <v>40756</v>
      </c>
      <c r="B62" s="7">
        <v>5394.5</v>
      </c>
      <c r="C62" s="8">
        <v>5784.85</v>
      </c>
      <c r="D62" s="8">
        <v>11613.53</v>
      </c>
      <c r="E62" s="9">
        <v>127.1</v>
      </c>
      <c r="F62" s="14">
        <v>726.81</v>
      </c>
      <c r="G62" s="2"/>
    </row>
    <row r="63" spans="1:7" x14ac:dyDescent="0.25">
      <c r="A63" s="6">
        <v>40725</v>
      </c>
      <c r="B63" s="7">
        <v>5815.2</v>
      </c>
      <c r="C63" s="8">
        <v>7158.77</v>
      </c>
      <c r="D63" s="8">
        <v>12143.24</v>
      </c>
      <c r="E63" s="9">
        <v>138.28</v>
      </c>
      <c r="F63" s="14">
        <v>797.03</v>
      </c>
      <c r="G63" s="2"/>
    </row>
    <row r="64" spans="1:7" x14ac:dyDescent="0.25">
      <c r="A64" s="6">
        <v>40695</v>
      </c>
      <c r="B64" s="7">
        <v>5945.7</v>
      </c>
      <c r="C64" s="8">
        <v>7376.24</v>
      </c>
      <c r="D64" s="8">
        <v>12414.34</v>
      </c>
      <c r="E64" s="9">
        <v>138.05000000000001</v>
      </c>
      <c r="F64" s="14">
        <v>827.43</v>
      </c>
      <c r="G64" s="2"/>
    </row>
    <row r="65" spans="1:7" x14ac:dyDescent="0.25">
      <c r="A65" s="6">
        <v>40665</v>
      </c>
      <c r="B65" s="7">
        <v>5990</v>
      </c>
      <c r="C65" s="8">
        <v>7293.69</v>
      </c>
      <c r="D65" s="8">
        <v>12569.79</v>
      </c>
      <c r="E65" s="9">
        <v>140.4</v>
      </c>
      <c r="F65" s="14">
        <v>848.3</v>
      </c>
      <c r="G65" s="2"/>
    </row>
    <row r="66" spans="1:7" x14ac:dyDescent="0.25">
      <c r="A66" s="6">
        <v>40634</v>
      </c>
      <c r="B66" s="7">
        <v>6069.9</v>
      </c>
      <c r="C66" s="8">
        <v>7514.46</v>
      </c>
      <c r="D66" s="8">
        <v>12810.54</v>
      </c>
      <c r="E66" s="9">
        <v>144.26</v>
      </c>
      <c r="F66" s="14">
        <v>865.29</v>
      </c>
      <c r="G66" s="2"/>
    </row>
    <row r="67" spans="1:7" x14ac:dyDescent="0.25">
      <c r="A67" s="6">
        <v>40603</v>
      </c>
      <c r="B67" s="7">
        <v>5908.8</v>
      </c>
      <c r="C67" s="8">
        <v>7041.31</v>
      </c>
      <c r="D67" s="8">
        <v>12319.73</v>
      </c>
      <c r="E67" s="9">
        <v>142.02000000000001</v>
      </c>
      <c r="F67" s="14">
        <v>843.55</v>
      </c>
      <c r="G67" s="2"/>
    </row>
    <row r="68" spans="1:7" x14ac:dyDescent="0.25">
      <c r="A68" s="6">
        <v>40575</v>
      </c>
      <c r="B68" s="7">
        <v>5994</v>
      </c>
      <c r="C68" s="8">
        <v>7272.32</v>
      </c>
      <c r="D68" s="8">
        <v>12226.34</v>
      </c>
      <c r="E68" s="9">
        <v>149.11000000000001</v>
      </c>
      <c r="F68" s="14">
        <v>823.45</v>
      </c>
      <c r="G68" s="2"/>
    </row>
    <row r="69" spans="1:7" x14ac:dyDescent="0.25">
      <c r="A69" s="6">
        <v>40546</v>
      </c>
      <c r="B69" s="7">
        <v>5862.9</v>
      </c>
      <c r="C69" s="8">
        <v>7077.48</v>
      </c>
      <c r="D69" s="8">
        <v>11891.93</v>
      </c>
      <c r="E69" s="9">
        <v>144.69999999999999</v>
      </c>
      <c r="F69" s="14">
        <v>781.25</v>
      </c>
      <c r="G69" s="2"/>
    </row>
    <row r="70" spans="1:7" ht="16.5" thickBot="1" x14ac:dyDescent="0.3">
      <c r="A70" s="6">
        <v>40543</v>
      </c>
      <c r="B70" s="15">
        <v>5899.9</v>
      </c>
      <c r="C70" s="16">
        <v>6914.19</v>
      </c>
      <c r="D70" s="16">
        <v>11577.51</v>
      </c>
      <c r="E70" s="17">
        <v>145.71</v>
      </c>
      <c r="F70" s="24">
        <v>783.65</v>
      </c>
      <c r="G70" s="1"/>
    </row>
  </sheetData>
  <autoFilter ref="A3:F70" xr:uid="{00000000-0001-0000-0100-000000000000}">
    <sortState xmlns:xlrd2="http://schemas.microsoft.com/office/spreadsheetml/2017/richdata2" ref="A4:F70">
      <sortCondition descending="1" ref="A3:A70"/>
    </sortState>
  </autoFilter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915B-F164-44DF-BCA1-336612952D98}">
  <dimension ref="A1:S71"/>
  <sheetViews>
    <sheetView topLeftCell="A51" zoomScale="85" zoomScaleNormal="85" zoomScalePageLayoutView="130" workbookViewId="0">
      <selection activeCell="O5" sqref="O5:R70"/>
    </sheetView>
  </sheetViews>
  <sheetFormatPr defaultColWidth="11" defaultRowHeight="15.75" x14ac:dyDescent="0.25"/>
  <cols>
    <col min="1" max="1" width="16.25" bestFit="1" customWidth="1"/>
    <col min="2" max="2" width="12.25" bestFit="1" customWidth="1"/>
    <col min="3" max="3" width="16.375" bestFit="1" customWidth="1"/>
    <col min="4" max="5" width="16.25" bestFit="1" customWidth="1"/>
    <col min="6" max="6" width="11.5" bestFit="1" customWidth="1"/>
  </cols>
  <sheetData>
    <row r="1" spans="1:19" ht="16.5" thickBot="1" x14ac:dyDescent="0.3">
      <c r="A1" s="20" t="s">
        <v>5</v>
      </c>
      <c r="B1" s="21"/>
      <c r="C1" s="21"/>
      <c r="D1" s="21"/>
      <c r="E1" s="21"/>
      <c r="F1" s="22"/>
    </row>
    <row r="3" spans="1:19" ht="16.5" thickBot="1" x14ac:dyDescent="0.3">
      <c r="B3" s="3" t="s">
        <v>1</v>
      </c>
      <c r="C3" s="3" t="s">
        <v>3</v>
      </c>
      <c r="D3" s="4" t="s">
        <v>0</v>
      </c>
      <c r="E3" s="4" t="s">
        <v>2</v>
      </c>
      <c r="F3" s="5" t="s">
        <v>4</v>
      </c>
      <c r="G3" s="2"/>
    </row>
    <row r="4" spans="1:19" x14ac:dyDescent="0.25">
      <c r="A4" s="6">
        <v>40543</v>
      </c>
      <c r="B4" s="11">
        <v>5899.9</v>
      </c>
      <c r="C4" s="12">
        <v>6914.19</v>
      </c>
      <c r="D4" s="12">
        <v>11577.51</v>
      </c>
      <c r="E4" s="10">
        <v>145.71</v>
      </c>
      <c r="F4" s="18">
        <v>783.65</v>
      </c>
      <c r="G4" s="2"/>
    </row>
    <row r="5" spans="1:19" x14ac:dyDescent="0.25">
      <c r="A5" s="6">
        <v>40546</v>
      </c>
      <c r="B5" s="7">
        <v>5862.9</v>
      </c>
      <c r="C5" s="8">
        <v>7077.48</v>
      </c>
      <c r="D5" s="8">
        <v>11891.93</v>
      </c>
      <c r="E5" s="9">
        <v>144.69999999999999</v>
      </c>
      <c r="F5" s="14">
        <v>781.25</v>
      </c>
      <c r="G5" s="2"/>
      <c r="H5">
        <f>(B5-B4)/B4</f>
        <v>-6.2712927337751495E-3</v>
      </c>
      <c r="I5">
        <f t="shared" ref="I5:L5" si="0">(C5-C4)/C4</f>
        <v>2.3616649238739459E-2</v>
      </c>
      <c r="J5">
        <f t="shared" si="0"/>
        <v>2.7157825819196017E-2</v>
      </c>
      <c r="K5">
        <f t="shared" si="0"/>
        <v>-6.9315764189144136E-3</v>
      </c>
      <c r="L5">
        <f t="shared" si="0"/>
        <v>-3.062591718241533E-3</v>
      </c>
      <c r="N5" s="2">
        <f>B5-B4</f>
        <v>-37</v>
      </c>
      <c r="O5" s="2">
        <f t="shared" ref="O5:R5" si="1">C5-C4</f>
        <v>163.28999999999996</v>
      </c>
      <c r="P5" s="2">
        <f t="shared" si="1"/>
        <v>314.42000000000007</v>
      </c>
      <c r="Q5" s="2">
        <f t="shared" si="1"/>
        <v>-1.0100000000000193</v>
      </c>
      <c r="R5" s="2">
        <f t="shared" si="1"/>
        <v>-2.3999999999999773</v>
      </c>
      <c r="S5" s="2"/>
    </row>
    <row r="6" spans="1:19" x14ac:dyDescent="0.25">
      <c r="A6" s="6">
        <v>40575</v>
      </c>
      <c r="B6" s="7">
        <v>5994</v>
      </c>
      <c r="C6" s="8">
        <v>7272.32</v>
      </c>
      <c r="D6" s="8">
        <v>12226.34</v>
      </c>
      <c r="E6" s="9">
        <v>149.11000000000001</v>
      </c>
      <c r="F6" s="14">
        <v>823.45</v>
      </c>
      <c r="G6" s="2"/>
      <c r="H6">
        <f t="shared" ref="H6:H69" si="2">(B6-B5)/B5</f>
        <v>2.2360947653891482E-2</v>
      </c>
      <c r="I6">
        <f t="shared" ref="I6:I69" si="3">(C6-C5)/C5</f>
        <v>2.7529572672759253E-2</v>
      </c>
      <c r="J6">
        <f t="shared" ref="J6:J69" si="4">(D6-D5)/D5</f>
        <v>2.8120750794866759E-2</v>
      </c>
      <c r="K6">
        <f t="shared" ref="K6:K69" si="5">(E6-E5)/E5</f>
        <v>3.0476848652384418E-2</v>
      </c>
      <c r="L6">
        <f t="shared" ref="L6:L69" si="6">(F6-F5)/F5</f>
        <v>5.4016000000000057E-2</v>
      </c>
      <c r="N6" s="2">
        <f t="shared" ref="N6:N69" si="7">B6-B5</f>
        <v>131.10000000000036</v>
      </c>
      <c r="O6" s="2">
        <f t="shared" ref="O6:O69" si="8">C6-C5</f>
        <v>194.84000000000015</v>
      </c>
      <c r="P6" s="2">
        <f t="shared" ref="P6:P69" si="9">D6-D5</f>
        <v>334.40999999999985</v>
      </c>
      <c r="Q6" s="2">
        <f t="shared" ref="Q6:Q69" si="10">E6-E5</f>
        <v>4.410000000000025</v>
      </c>
      <c r="R6" s="2">
        <f t="shared" ref="R6:R69" si="11">F6-F5</f>
        <v>42.200000000000045</v>
      </c>
    </row>
    <row r="7" spans="1:19" x14ac:dyDescent="0.25">
      <c r="A7" s="6">
        <v>40603</v>
      </c>
      <c r="B7" s="7">
        <v>5908.8</v>
      </c>
      <c r="C7" s="8">
        <v>7041.31</v>
      </c>
      <c r="D7" s="8">
        <v>12319.73</v>
      </c>
      <c r="E7" s="9">
        <v>142.02000000000001</v>
      </c>
      <c r="F7" s="14">
        <v>843.55</v>
      </c>
      <c r="G7" s="2"/>
      <c r="H7">
        <f t="shared" si="2"/>
        <v>-1.4214214214214184E-2</v>
      </c>
      <c r="I7">
        <f t="shared" si="3"/>
        <v>-3.1765653876616999E-2</v>
      </c>
      <c r="J7">
        <f t="shared" si="4"/>
        <v>7.6384265446568164E-3</v>
      </c>
      <c r="K7">
        <f t="shared" si="5"/>
        <v>-4.7548789484273372E-2</v>
      </c>
      <c r="L7">
        <f t="shared" si="6"/>
        <v>2.4409496630032071E-2</v>
      </c>
      <c r="N7" s="2">
        <f t="shared" si="7"/>
        <v>-85.199999999999818</v>
      </c>
      <c r="O7" s="2">
        <f t="shared" si="8"/>
        <v>-231.00999999999931</v>
      </c>
      <c r="P7" s="2">
        <f t="shared" si="9"/>
        <v>93.389999999999418</v>
      </c>
      <c r="Q7" s="2">
        <f t="shared" si="10"/>
        <v>-7.0900000000000034</v>
      </c>
      <c r="R7" s="2">
        <f t="shared" si="11"/>
        <v>20.099999999999909</v>
      </c>
    </row>
    <row r="8" spans="1:19" x14ac:dyDescent="0.25">
      <c r="A8" s="6">
        <v>40634</v>
      </c>
      <c r="B8" s="7">
        <v>6069.9</v>
      </c>
      <c r="C8" s="8">
        <v>7514.46</v>
      </c>
      <c r="D8" s="8">
        <v>12810.54</v>
      </c>
      <c r="E8" s="9">
        <v>144.26</v>
      </c>
      <c r="F8" s="14">
        <v>865.29</v>
      </c>
      <c r="G8" s="2"/>
      <c r="H8">
        <f t="shared" si="2"/>
        <v>2.726441917140527E-2</v>
      </c>
      <c r="I8">
        <f t="shared" si="3"/>
        <v>6.7196302960670612E-2</v>
      </c>
      <c r="J8">
        <f t="shared" si="4"/>
        <v>3.9839347128549189E-2</v>
      </c>
      <c r="K8">
        <f t="shared" si="5"/>
        <v>1.5772426418814114E-2</v>
      </c>
      <c r="L8">
        <f t="shared" si="6"/>
        <v>2.5772034852705839E-2</v>
      </c>
      <c r="N8" s="2">
        <f t="shared" si="7"/>
        <v>161.09999999999945</v>
      </c>
      <c r="O8" s="2">
        <f t="shared" si="8"/>
        <v>473.14999999999964</v>
      </c>
      <c r="P8" s="2">
        <f t="shared" si="9"/>
        <v>490.81000000000131</v>
      </c>
      <c r="Q8" s="2">
        <f t="shared" si="10"/>
        <v>2.2399999999999807</v>
      </c>
      <c r="R8" s="2">
        <f t="shared" si="11"/>
        <v>21.740000000000009</v>
      </c>
    </row>
    <row r="9" spans="1:19" x14ac:dyDescent="0.25">
      <c r="A9" s="6">
        <v>40665</v>
      </c>
      <c r="B9" s="7">
        <v>5990</v>
      </c>
      <c r="C9" s="8">
        <v>7293.69</v>
      </c>
      <c r="D9" s="8">
        <v>12569.79</v>
      </c>
      <c r="E9" s="9">
        <v>140.4</v>
      </c>
      <c r="F9" s="14">
        <v>848.3</v>
      </c>
      <c r="G9" s="2"/>
      <c r="H9">
        <f t="shared" si="2"/>
        <v>-1.3163314057892164E-2</v>
      </c>
      <c r="I9">
        <f t="shared" si="3"/>
        <v>-2.9379356600474343E-2</v>
      </c>
      <c r="J9">
        <f t="shared" si="4"/>
        <v>-1.8793118791245334E-2</v>
      </c>
      <c r="K9">
        <f t="shared" si="5"/>
        <v>-2.675724386524321E-2</v>
      </c>
      <c r="L9">
        <f t="shared" si="6"/>
        <v>-1.9635035652786938E-2</v>
      </c>
      <c r="N9" s="2">
        <f t="shared" si="7"/>
        <v>-79.899999999999636</v>
      </c>
      <c r="O9" s="2">
        <f t="shared" si="8"/>
        <v>-220.77000000000044</v>
      </c>
      <c r="P9" s="2">
        <f t="shared" si="9"/>
        <v>-240.75</v>
      </c>
      <c r="Q9" s="2">
        <f t="shared" si="10"/>
        <v>-3.8599999999999852</v>
      </c>
      <c r="R9" s="2">
        <f t="shared" si="11"/>
        <v>-16.990000000000009</v>
      </c>
    </row>
    <row r="10" spans="1:19" x14ac:dyDescent="0.25">
      <c r="A10" s="6">
        <v>40695</v>
      </c>
      <c r="B10" s="7">
        <v>5945.7</v>
      </c>
      <c r="C10" s="8">
        <v>7376.24</v>
      </c>
      <c r="D10" s="8">
        <v>12414.34</v>
      </c>
      <c r="E10" s="9">
        <v>138.05000000000001</v>
      </c>
      <c r="F10" s="14">
        <v>827.43</v>
      </c>
      <c r="G10" s="2"/>
      <c r="H10">
        <f t="shared" si="2"/>
        <v>-7.3956594323873427E-3</v>
      </c>
      <c r="I10">
        <f t="shared" si="3"/>
        <v>1.1318002273197817E-2</v>
      </c>
      <c r="J10">
        <f t="shared" si="4"/>
        <v>-1.2366952828965378E-2</v>
      </c>
      <c r="K10">
        <f t="shared" si="5"/>
        <v>-1.6737891737891697E-2</v>
      </c>
      <c r="L10">
        <f t="shared" si="6"/>
        <v>-2.4602145467405405E-2</v>
      </c>
      <c r="N10" s="2">
        <f t="shared" si="7"/>
        <v>-44.300000000000182</v>
      </c>
      <c r="O10" s="2">
        <f t="shared" si="8"/>
        <v>82.550000000000182</v>
      </c>
      <c r="P10" s="2">
        <f t="shared" si="9"/>
        <v>-155.45000000000073</v>
      </c>
      <c r="Q10" s="2">
        <f t="shared" si="10"/>
        <v>-2.3499999999999943</v>
      </c>
      <c r="R10" s="2">
        <f t="shared" si="11"/>
        <v>-20.870000000000005</v>
      </c>
    </row>
    <row r="11" spans="1:19" x14ac:dyDescent="0.25">
      <c r="A11" s="6">
        <v>40725</v>
      </c>
      <c r="B11" s="7">
        <v>5815.2</v>
      </c>
      <c r="C11" s="8">
        <v>7158.77</v>
      </c>
      <c r="D11" s="8">
        <v>12143.24</v>
      </c>
      <c r="E11" s="9">
        <v>138.28</v>
      </c>
      <c r="F11" s="14">
        <v>797.03</v>
      </c>
      <c r="G11" s="2"/>
      <c r="H11">
        <f t="shared" si="2"/>
        <v>-2.1948635148090218E-2</v>
      </c>
      <c r="I11">
        <f t="shared" si="3"/>
        <v>-2.9482500569395702E-2</v>
      </c>
      <c r="J11">
        <f t="shared" si="4"/>
        <v>-2.1837649041350597E-2</v>
      </c>
      <c r="K11">
        <f t="shared" si="5"/>
        <v>1.6660630206446197E-3</v>
      </c>
      <c r="L11">
        <f t="shared" si="6"/>
        <v>-3.674026805892943E-2</v>
      </c>
      <c r="N11" s="2">
        <f t="shared" si="7"/>
        <v>-130.5</v>
      </c>
      <c r="O11" s="2">
        <f t="shared" si="8"/>
        <v>-217.46999999999935</v>
      </c>
      <c r="P11" s="2">
        <f t="shared" si="9"/>
        <v>-271.10000000000036</v>
      </c>
      <c r="Q11" s="2">
        <f t="shared" si="10"/>
        <v>0.22999999999998977</v>
      </c>
      <c r="R11" s="2">
        <f t="shared" si="11"/>
        <v>-30.399999999999977</v>
      </c>
    </row>
    <row r="12" spans="1:19" x14ac:dyDescent="0.25">
      <c r="A12" s="6">
        <v>40756</v>
      </c>
      <c r="B12" s="7">
        <v>5394.5</v>
      </c>
      <c r="C12" s="8">
        <v>5784.85</v>
      </c>
      <c r="D12" s="8">
        <v>11613.53</v>
      </c>
      <c r="E12" s="9">
        <v>127.1</v>
      </c>
      <c r="F12" s="14">
        <v>726.81</v>
      </c>
      <c r="G12" s="2"/>
      <c r="H12">
        <f t="shared" si="2"/>
        <v>-7.2344889255743533E-2</v>
      </c>
      <c r="I12">
        <f t="shared" si="3"/>
        <v>-0.19192123786628149</v>
      </c>
      <c r="J12">
        <f t="shared" si="4"/>
        <v>-4.3621801100859336E-2</v>
      </c>
      <c r="K12">
        <f t="shared" si="5"/>
        <v>-8.0850448365634986E-2</v>
      </c>
      <c r="L12">
        <f t="shared" si="6"/>
        <v>-8.8102078968169364E-2</v>
      </c>
      <c r="N12" s="2">
        <f t="shared" si="7"/>
        <v>-420.69999999999982</v>
      </c>
      <c r="O12" s="2">
        <f t="shared" si="8"/>
        <v>-1373.92</v>
      </c>
      <c r="P12" s="2">
        <f t="shared" si="9"/>
        <v>-529.70999999999913</v>
      </c>
      <c r="Q12" s="2">
        <f t="shared" si="10"/>
        <v>-11.180000000000007</v>
      </c>
      <c r="R12" s="2">
        <f t="shared" si="11"/>
        <v>-70.220000000000027</v>
      </c>
    </row>
    <row r="13" spans="1:19" x14ac:dyDescent="0.25">
      <c r="A13" s="6">
        <v>40787</v>
      </c>
      <c r="B13" s="7">
        <v>5128.5</v>
      </c>
      <c r="C13" s="8">
        <v>5502.02</v>
      </c>
      <c r="D13" s="8">
        <v>10913.38</v>
      </c>
      <c r="E13" s="9">
        <v>116.08</v>
      </c>
      <c r="F13" s="14">
        <v>644.16</v>
      </c>
      <c r="G13" s="2"/>
      <c r="H13">
        <f t="shared" si="2"/>
        <v>-4.930948187969228E-2</v>
      </c>
      <c r="I13">
        <f t="shared" si="3"/>
        <v>-4.8891501076086662E-2</v>
      </c>
      <c r="J13">
        <f t="shared" si="4"/>
        <v>-6.0287440597303441E-2</v>
      </c>
      <c r="K13">
        <f t="shared" si="5"/>
        <v>-8.6703383162863856E-2</v>
      </c>
      <c r="L13">
        <f t="shared" si="6"/>
        <v>-0.11371610186981465</v>
      </c>
      <c r="N13" s="2">
        <f t="shared" si="7"/>
        <v>-266</v>
      </c>
      <c r="O13" s="2">
        <f t="shared" si="8"/>
        <v>-282.82999999999993</v>
      </c>
      <c r="P13" s="2">
        <f t="shared" si="9"/>
        <v>-700.15000000000146</v>
      </c>
      <c r="Q13" s="2">
        <f t="shared" si="10"/>
        <v>-11.019999999999996</v>
      </c>
      <c r="R13" s="2">
        <f t="shared" si="11"/>
        <v>-82.649999999999977</v>
      </c>
    </row>
    <row r="14" spans="1:19" x14ac:dyDescent="0.25">
      <c r="A14" s="6">
        <v>40819</v>
      </c>
      <c r="B14" s="7">
        <v>5544.2</v>
      </c>
      <c r="C14" s="8">
        <v>6141.34</v>
      </c>
      <c r="D14" s="8">
        <v>11955.01</v>
      </c>
      <c r="E14" s="9">
        <v>126.52</v>
      </c>
      <c r="F14" s="14">
        <v>741.06</v>
      </c>
      <c r="G14" s="2"/>
      <c r="H14">
        <f t="shared" si="2"/>
        <v>8.1056839231744143E-2</v>
      </c>
      <c r="I14">
        <f t="shared" si="3"/>
        <v>0.11619732389195235</v>
      </c>
      <c r="J14">
        <f t="shared" si="4"/>
        <v>9.5445224119383831E-2</v>
      </c>
      <c r="K14">
        <f t="shared" si="5"/>
        <v>8.9937973811164695E-2</v>
      </c>
      <c r="L14">
        <f t="shared" si="6"/>
        <v>0.15042846497764528</v>
      </c>
      <c r="N14" s="2">
        <f t="shared" si="7"/>
        <v>415.69999999999982</v>
      </c>
      <c r="O14" s="2">
        <f t="shared" si="8"/>
        <v>639.31999999999971</v>
      </c>
      <c r="P14" s="2">
        <f t="shared" si="9"/>
        <v>1041.630000000001</v>
      </c>
      <c r="Q14" s="2">
        <f t="shared" si="10"/>
        <v>10.439999999999998</v>
      </c>
      <c r="R14" s="2">
        <f t="shared" si="11"/>
        <v>96.899999999999977</v>
      </c>
    </row>
    <row r="15" spans="1:19" x14ac:dyDescent="0.25">
      <c r="A15" s="6">
        <v>40848</v>
      </c>
      <c r="B15" s="7">
        <v>5505.4</v>
      </c>
      <c r="C15" s="8">
        <v>6088.84</v>
      </c>
      <c r="D15" s="8">
        <v>12045.68</v>
      </c>
      <c r="E15" s="9">
        <v>118.73</v>
      </c>
      <c r="F15" s="14">
        <v>737.42</v>
      </c>
      <c r="G15" s="2"/>
      <c r="H15">
        <f t="shared" si="2"/>
        <v>-6.9983045344684863E-3</v>
      </c>
      <c r="I15">
        <f t="shared" si="3"/>
        <v>-8.5486229389677166E-3</v>
      </c>
      <c r="J15">
        <f t="shared" si="4"/>
        <v>7.5842680181781585E-3</v>
      </c>
      <c r="K15">
        <f t="shared" si="5"/>
        <v>-6.1571293076193426E-2</v>
      </c>
      <c r="L15">
        <f t="shared" si="6"/>
        <v>-4.9118829784362758E-3</v>
      </c>
      <c r="N15" s="2">
        <f t="shared" si="7"/>
        <v>-38.800000000000182</v>
      </c>
      <c r="O15" s="2">
        <f t="shared" si="8"/>
        <v>-52.5</v>
      </c>
      <c r="P15" s="2">
        <f t="shared" si="9"/>
        <v>90.670000000000073</v>
      </c>
      <c r="Q15" s="2">
        <f t="shared" si="10"/>
        <v>-7.789999999999992</v>
      </c>
      <c r="R15" s="2">
        <f t="shared" si="11"/>
        <v>-3.6399999999999864</v>
      </c>
    </row>
    <row r="16" spans="1:19" x14ac:dyDescent="0.25">
      <c r="A16" s="6">
        <v>40878</v>
      </c>
      <c r="B16" s="7">
        <v>5572.3</v>
      </c>
      <c r="C16" s="8">
        <v>5898.35</v>
      </c>
      <c r="D16" s="8">
        <v>12217.56</v>
      </c>
      <c r="E16" s="9">
        <v>119.3</v>
      </c>
      <c r="F16" s="14">
        <v>740.92</v>
      </c>
      <c r="G16" s="2"/>
      <c r="H16">
        <f t="shared" si="2"/>
        <v>1.2151705598140107E-2</v>
      </c>
      <c r="I16">
        <f t="shared" si="3"/>
        <v>-3.1285105208873905E-2</v>
      </c>
      <c r="J16">
        <f t="shared" si="4"/>
        <v>1.4269015945965623E-2</v>
      </c>
      <c r="K16">
        <f t="shared" si="5"/>
        <v>4.8008085572306342E-3</v>
      </c>
      <c r="L16">
        <f t="shared" si="6"/>
        <v>4.7462775623118439E-3</v>
      </c>
      <c r="N16" s="2">
        <f t="shared" si="7"/>
        <v>66.900000000000546</v>
      </c>
      <c r="O16" s="2">
        <f t="shared" si="8"/>
        <v>-190.48999999999978</v>
      </c>
      <c r="P16" s="2">
        <f t="shared" si="9"/>
        <v>171.8799999999992</v>
      </c>
      <c r="Q16" s="2">
        <f t="shared" si="10"/>
        <v>0.56999999999999318</v>
      </c>
      <c r="R16" s="2">
        <f t="shared" si="11"/>
        <v>3.5</v>
      </c>
    </row>
    <row r="17" spans="1:18" x14ac:dyDescent="0.25">
      <c r="A17" s="6">
        <v>40910</v>
      </c>
      <c r="B17" s="7">
        <v>5681.6</v>
      </c>
      <c r="C17" s="8">
        <v>6458.91</v>
      </c>
      <c r="D17" s="8">
        <v>12632.91</v>
      </c>
      <c r="E17" s="9">
        <v>129.47999999999999</v>
      </c>
      <c r="F17" s="14">
        <v>792.82</v>
      </c>
      <c r="G17" s="2"/>
      <c r="H17">
        <f t="shared" si="2"/>
        <v>1.9614880749421276E-2</v>
      </c>
      <c r="I17">
        <f t="shared" si="3"/>
        <v>9.5036747564996901E-2</v>
      </c>
      <c r="J17">
        <f t="shared" si="4"/>
        <v>3.3996149804052557E-2</v>
      </c>
      <c r="K17">
        <f t="shared" si="5"/>
        <v>8.5331098072087122E-2</v>
      </c>
      <c r="L17">
        <f t="shared" si="6"/>
        <v>7.0048048372294031E-2</v>
      </c>
      <c r="N17" s="2">
        <f t="shared" si="7"/>
        <v>109.30000000000018</v>
      </c>
      <c r="O17" s="2">
        <f t="shared" si="8"/>
        <v>560.55999999999949</v>
      </c>
      <c r="P17" s="2">
        <f t="shared" si="9"/>
        <v>415.35000000000036</v>
      </c>
      <c r="Q17" s="2">
        <f t="shared" si="10"/>
        <v>10.179999999999993</v>
      </c>
      <c r="R17" s="2">
        <f t="shared" si="11"/>
        <v>51.900000000000091</v>
      </c>
    </row>
    <row r="18" spans="1:18" x14ac:dyDescent="0.25">
      <c r="A18" s="6">
        <v>40940</v>
      </c>
      <c r="B18" s="7">
        <v>5871.5</v>
      </c>
      <c r="C18" s="8">
        <v>6856.08</v>
      </c>
      <c r="D18" s="8">
        <v>12952.07</v>
      </c>
      <c r="E18" s="9">
        <v>135.84</v>
      </c>
      <c r="F18" s="14">
        <v>810.94</v>
      </c>
      <c r="G18" s="2"/>
      <c r="H18">
        <f t="shared" si="2"/>
        <v>3.3423683469445159E-2</v>
      </c>
      <c r="I18">
        <f t="shared" si="3"/>
        <v>6.1491799699949383E-2</v>
      </c>
      <c r="J18">
        <f t="shared" si="4"/>
        <v>2.5264171121301415E-2</v>
      </c>
      <c r="K18">
        <f t="shared" si="5"/>
        <v>4.9119555143651641E-2</v>
      </c>
      <c r="L18">
        <f t="shared" si="6"/>
        <v>2.2855124744582633E-2</v>
      </c>
      <c r="N18" s="2">
        <f t="shared" si="7"/>
        <v>189.89999999999964</v>
      </c>
      <c r="O18" s="2">
        <f t="shared" si="8"/>
        <v>397.17000000000007</v>
      </c>
      <c r="P18" s="2">
        <f t="shared" si="9"/>
        <v>319.15999999999985</v>
      </c>
      <c r="Q18" s="2">
        <f t="shared" si="10"/>
        <v>6.3600000000000136</v>
      </c>
      <c r="R18" s="2">
        <f t="shared" si="11"/>
        <v>18.120000000000005</v>
      </c>
    </row>
    <row r="19" spans="1:18" x14ac:dyDescent="0.25">
      <c r="A19" s="6">
        <v>40969</v>
      </c>
      <c r="B19" s="7">
        <v>5768.5</v>
      </c>
      <c r="C19" s="8">
        <v>6946.83</v>
      </c>
      <c r="D19" s="8">
        <v>13212.04</v>
      </c>
      <c r="E19" s="9">
        <v>133.4</v>
      </c>
      <c r="F19" s="14">
        <v>830.3</v>
      </c>
      <c r="G19" s="2"/>
      <c r="H19">
        <f t="shared" si="2"/>
        <v>-1.7542365664651283E-2</v>
      </c>
      <c r="I19">
        <f t="shared" si="3"/>
        <v>1.323642664613015E-2</v>
      </c>
      <c r="J19">
        <f t="shared" si="4"/>
        <v>2.0071695103562687E-2</v>
      </c>
      <c r="K19">
        <f t="shared" si="5"/>
        <v>-1.7962308598350983E-2</v>
      </c>
      <c r="L19">
        <f t="shared" si="6"/>
        <v>2.3873529484302044E-2</v>
      </c>
      <c r="N19" s="2">
        <f t="shared" si="7"/>
        <v>-103</v>
      </c>
      <c r="O19" s="2">
        <f t="shared" si="8"/>
        <v>90.75</v>
      </c>
      <c r="P19" s="2">
        <f t="shared" si="9"/>
        <v>259.97000000000116</v>
      </c>
      <c r="Q19" s="2">
        <f t="shared" si="10"/>
        <v>-2.4399999999999977</v>
      </c>
      <c r="R19" s="2">
        <f t="shared" si="11"/>
        <v>19.3599999999999</v>
      </c>
    </row>
    <row r="20" spans="1:18" x14ac:dyDescent="0.25">
      <c r="A20" s="6">
        <v>41001</v>
      </c>
      <c r="B20" s="7">
        <v>5737.8</v>
      </c>
      <c r="C20" s="8">
        <v>6761.19</v>
      </c>
      <c r="D20" s="8">
        <v>13213.63</v>
      </c>
      <c r="E20" s="9">
        <v>133.38999999999999</v>
      </c>
      <c r="F20" s="14">
        <v>816.88</v>
      </c>
      <c r="G20" s="2"/>
      <c r="H20">
        <f t="shared" si="2"/>
        <v>-5.3220074542775107E-3</v>
      </c>
      <c r="I20">
        <f t="shared" si="3"/>
        <v>-2.6722980121868582E-2</v>
      </c>
      <c r="J20">
        <f t="shared" si="4"/>
        <v>1.203447764310679E-4</v>
      </c>
      <c r="K20">
        <f t="shared" si="5"/>
        <v>-7.4962518740774557E-5</v>
      </c>
      <c r="L20">
        <f t="shared" si="6"/>
        <v>-1.6162832711068241E-2</v>
      </c>
      <c r="N20" s="2">
        <f t="shared" si="7"/>
        <v>-30.699999999999818</v>
      </c>
      <c r="O20" s="2">
        <f t="shared" si="8"/>
        <v>-185.64000000000033</v>
      </c>
      <c r="P20" s="2">
        <f t="shared" si="9"/>
        <v>1.5899999999983265</v>
      </c>
      <c r="Q20" s="2">
        <f t="shared" si="10"/>
        <v>-1.0000000000019327E-2</v>
      </c>
      <c r="R20" s="2">
        <f t="shared" si="11"/>
        <v>-13.419999999999959</v>
      </c>
    </row>
    <row r="21" spans="1:18" x14ac:dyDescent="0.25">
      <c r="A21" s="6">
        <v>41030</v>
      </c>
      <c r="B21" s="7">
        <v>5320.9</v>
      </c>
      <c r="C21" s="8">
        <v>6264.38</v>
      </c>
      <c r="D21" s="8">
        <v>12393.45</v>
      </c>
      <c r="E21" s="9">
        <v>118.89</v>
      </c>
      <c r="F21" s="14">
        <v>761.82</v>
      </c>
      <c r="G21" s="2"/>
      <c r="H21">
        <f t="shared" si="2"/>
        <v>-7.2658510230401985E-2</v>
      </c>
      <c r="I21">
        <f t="shared" si="3"/>
        <v>-7.3479668519890656E-2</v>
      </c>
      <c r="J21">
        <f t="shared" si="4"/>
        <v>-6.2070755727230031E-2</v>
      </c>
      <c r="K21">
        <f t="shared" si="5"/>
        <v>-0.10870380088462393</v>
      </c>
      <c r="L21">
        <f t="shared" si="6"/>
        <v>-6.740280090098906E-2</v>
      </c>
      <c r="N21" s="2">
        <f t="shared" si="7"/>
        <v>-416.90000000000055</v>
      </c>
      <c r="O21" s="2">
        <f t="shared" si="8"/>
        <v>-496.80999999999949</v>
      </c>
      <c r="P21" s="2">
        <f t="shared" si="9"/>
        <v>-820.17999999999847</v>
      </c>
      <c r="Q21" s="2">
        <f t="shared" si="10"/>
        <v>-14.499999999999986</v>
      </c>
      <c r="R21" s="2">
        <f t="shared" si="11"/>
        <v>-55.059999999999945</v>
      </c>
    </row>
    <row r="22" spans="1:18" x14ac:dyDescent="0.25">
      <c r="A22" s="6">
        <v>41061</v>
      </c>
      <c r="B22" s="7">
        <v>5571.2</v>
      </c>
      <c r="C22" s="8">
        <v>6416.28</v>
      </c>
      <c r="D22" s="8">
        <v>12880.09</v>
      </c>
      <c r="E22" s="9">
        <v>124.89</v>
      </c>
      <c r="F22" s="14">
        <v>798.49</v>
      </c>
      <c r="G22" s="2"/>
      <c r="H22">
        <f t="shared" si="2"/>
        <v>4.704091413106809E-2</v>
      </c>
      <c r="I22">
        <f t="shared" si="3"/>
        <v>2.4248209719078286E-2</v>
      </c>
      <c r="J22">
        <f t="shared" si="4"/>
        <v>3.9265902553364831E-2</v>
      </c>
      <c r="K22">
        <f t="shared" si="5"/>
        <v>5.0466818067120868E-2</v>
      </c>
      <c r="L22">
        <f t="shared" si="6"/>
        <v>4.813472998871119E-2</v>
      </c>
      <c r="N22" s="2">
        <f t="shared" si="7"/>
        <v>250.30000000000018</v>
      </c>
      <c r="O22" s="2">
        <f t="shared" si="8"/>
        <v>151.89999999999964</v>
      </c>
      <c r="P22" s="2">
        <f t="shared" si="9"/>
        <v>486.63999999999942</v>
      </c>
      <c r="Q22" s="2">
        <f t="shared" si="10"/>
        <v>6</v>
      </c>
      <c r="R22" s="2">
        <f t="shared" si="11"/>
        <v>36.669999999999959</v>
      </c>
    </row>
    <row r="23" spans="1:18" x14ac:dyDescent="0.25">
      <c r="A23" s="6">
        <v>41092</v>
      </c>
      <c r="B23" s="7">
        <v>5635.3</v>
      </c>
      <c r="C23" s="8">
        <v>6772.26</v>
      </c>
      <c r="D23" s="8">
        <v>13008.68</v>
      </c>
      <c r="E23" s="9">
        <v>128.25</v>
      </c>
      <c r="F23" s="14">
        <v>786.94</v>
      </c>
      <c r="G23" s="2"/>
      <c r="H23">
        <f t="shared" si="2"/>
        <v>1.1505600229753081E-2</v>
      </c>
      <c r="I23">
        <f t="shared" si="3"/>
        <v>5.5480745852737177E-2</v>
      </c>
      <c r="J23">
        <f t="shared" si="4"/>
        <v>9.9836258908128864E-3</v>
      </c>
      <c r="K23">
        <f t="shared" si="5"/>
        <v>2.6903675234206097E-2</v>
      </c>
      <c r="L23">
        <f t="shared" si="6"/>
        <v>-1.4464802314368313E-2</v>
      </c>
      <c r="N23" s="2">
        <f t="shared" si="7"/>
        <v>64.100000000000364</v>
      </c>
      <c r="O23" s="2">
        <f t="shared" si="8"/>
        <v>355.98000000000047</v>
      </c>
      <c r="P23" s="2">
        <f t="shared" si="9"/>
        <v>128.59000000000015</v>
      </c>
      <c r="Q23" s="2">
        <f t="shared" si="10"/>
        <v>3.3599999999999994</v>
      </c>
      <c r="R23" s="2">
        <f t="shared" si="11"/>
        <v>-11.549999999999955</v>
      </c>
    </row>
    <row r="24" spans="1:18" x14ac:dyDescent="0.25">
      <c r="A24" s="6">
        <v>41122</v>
      </c>
      <c r="B24" s="7">
        <v>5711.5</v>
      </c>
      <c r="C24" s="8">
        <v>6970.79</v>
      </c>
      <c r="D24" s="8">
        <v>13090.84</v>
      </c>
      <c r="E24" s="9">
        <v>126.14</v>
      </c>
      <c r="F24" s="14">
        <v>812.09</v>
      </c>
      <c r="G24" s="2"/>
      <c r="H24">
        <f t="shared" si="2"/>
        <v>1.3521906553333419E-2</v>
      </c>
      <c r="I24">
        <f t="shared" si="3"/>
        <v>2.9315176912876904E-2</v>
      </c>
      <c r="J24">
        <f t="shared" si="4"/>
        <v>6.3157830002736519E-3</v>
      </c>
      <c r="K24">
        <f t="shared" si="5"/>
        <v>-1.6452241715399607E-2</v>
      </c>
      <c r="L24">
        <f t="shared" si="6"/>
        <v>3.1959234503265786E-2</v>
      </c>
      <c r="N24" s="2">
        <f t="shared" si="7"/>
        <v>76.199999999999818</v>
      </c>
      <c r="O24" s="2">
        <f t="shared" si="8"/>
        <v>198.52999999999975</v>
      </c>
      <c r="P24" s="2">
        <f t="shared" si="9"/>
        <v>82.159999999999854</v>
      </c>
      <c r="Q24" s="2">
        <f t="shared" si="10"/>
        <v>-2.1099999999999994</v>
      </c>
      <c r="R24" s="2">
        <f t="shared" si="11"/>
        <v>25.149999999999977</v>
      </c>
    </row>
    <row r="25" spans="1:18" x14ac:dyDescent="0.25">
      <c r="A25" s="6">
        <v>41155</v>
      </c>
      <c r="B25" s="7">
        <v>5742.1</v>
      </c>
      <c r="C25" s="8">
        <v>7216.15</v>
      </c>
      <c r="D25" s="8">
        <v>13437.13</v>
      </c>
      <c r="E25" s="9">
        <v>130</v>
      </c>
      <c r="F25" s="14">
        <v>837.45</v>
      </c>
      <c r="G25" s="2"/>
      <c r="H25">
        <f t="shared" si="2"/>
        <v>5.3576118357700018E-3</v>
      </c>
      <c r="I25">
        <f t="shared" si="3"/>
        <v>3.5198306074347339E-2</v>
      </c>
      <c r="J25">
        <f t="shared" si="4"/>
        <v>2.6452847945586305E-2</v>
      </c>
      <c r="K25">
        <f t="shared" si="5"/>
        <v>3.0600919613128264E-2</v>
      </c>
      <c r="L25">
        <f t="shared" si="6"/>
        <v>3.1228065854769806E-2</v>
      </c>
      <c r="N25" s="2">
        <f t="shared" si="7"/>
        <v>30.600000000000364</v>
      </c>
      <c r="O25" s="2">
        <f t="shared" si="8"/>
        <v>245.35999999999967</v>
      </c>
      <c r="P25" s="2">
        <f t="shared" si="9"/>
        <v>346.28999999999905</v>
      </c>
      <c r="Q25" s="2">
        <f t="shared" si="10"/>
        <v>3.8599999999999994</v>
      </c>
      <c r="R25" s="2">
        <f t="shared" si="11"/>
        <v>25.360000000000014</v>
      </c>
    </row>
    <row r="26" spans="1:18" x14ac:dyDescent="0.25">
      <c r="A26" s="6">
        <v>41183</v>
      </c>
      <c r="B26" s="7">
        <v>5782.7</v>
      </c>
      <c r="C26" s="8">
        <v>7260.63</v>
      </c>
      <c r="D26" s="8">
        <v>13096.46</v>
      </c>
      <c r="E26" s="9">
        <v>129.82</v>
      </c>
      <c r="F26" s="14">
        <v>818.73</v>
      </c>
      <c r="G26" s="2"/>
      <c r="H26">
        <f t="shared" si="2"/>
        <v>7.0705839327074504E-3</v>
      </c>
      <c r="I26">
        <f t="shared" si="3"/>
        <v>6.1639516916916189E-3</v>
      </c>
      <c r="J26">
        <f t="shared" si="4"/>
        <v>-2.535288413522829E-2</v>
      </c>
      <c r="K26">
        <f t="shared" si="5"/>
        <v>-1.384615384615437E-3</v>
      </c>
      <c r="L26">
        <f t="shared" si="6"/>
        <v>-2.2353573347662577E-2</v>
      </c>
      <c r="N26" s="2">
        <f t="shared" si="7"/>
        <v>40.599999999999454</v>
      </c>
      <c r="O26" s="2">
        <f t="shared" si="8"/>
        <v>44.480000000000473</v>
      </c>
      <c r="P26" s="2">
        <f t="shared" si="9"/>
        <v>-340.67000000000007</v>
      </c>
      <c r="Q26" s="2">
        <f t="shared" si="10"/>
        <v>-0.18000000000000682</v>
      </c>
      <c r="R26" s="2">
        <f t="shared" si="11"/>
        <v>-18.720000000000027</v>
      </c>
    </row>
    <row r="27" spans="1:18" x14ac:dyDescent="0.25">
      <c r="A27" s="6">
        <v>41214</v>
      </c>
      <c r="B27" s="7">
        <v>5866.8</v>
      </c>
      <c r="C27" s="8">
        <v>7405.5</v>
      </c>
      <c r="D27" s="8">
        <v>13025.58</v>
      </c>
      <c r="E27" s="9">
        <v>133.72</v>
      </c>
      <c r="F27" s="14">
        <v>821.92</v>
      </c>
      <c r="G27" s="2"/>
      <c r="H27">
        <f t="shared" si="2"/>
        <v>1.4543379390250293E-2</v>
      </c>
      <c r="I27">
        <f t="shared" si="3"/>
        <v>1.9952814012007207E-2</v>
      </c>
      <c r="J27">
        <f t="shared" si="4"/>
        <v>-5.4121495427007912E-3</v>
      </c>
      <c r="K27">
        <f t="shared" si="5"/>
        <v>3.0041596056077691E-2</v>
      </c>
      <c r="L27">
        <f t="shared" si="6"/>
        <v>3.896278382372627E-3</v>
      </c>
      <c r="N27" s="2">
        <f t="shared" si="7"/>
        <v>84.100000000000364</v>
      </c>
      <c r="O27" s="2">
        <f t="shared" si="8"/>
        <v>144.86999999999989</v>
      </c>
      <c r="P27" s="2">
        <f t="shared" si="9"/>
        <v>-70.8799999999992</v>
      </c>
      <c r="Q27" s="2">
        <f t="shared" si="10"/>
        <v>3.9000000000000057</v>
      </c>
      <c r="R27" s="2">
        <f t="shared" si="11"/>
        <v>3.1899999999999409</v>
      </c>
    </row>
    <row r="28" spans="1:18" x14ac:dyDescent="0.25">
      <c r="A28" s="6">
        <v>41246</v>
      </c>
      <c r="B28" s="7">
        <v>5897.8</v>
      </c>
      <c r="C28" s="8">
        <v>7612.39</v>
      </c>
      <c r="D28" s="8">
        <v>13104.14</v>
      </c>
      <c r="E28" s="9">
        <v>140.11000000000001</v>
      </c>
      <c r="F28" s="14">
        <v>849.35</v>
      </c>
      <c r="G28" s="2"/>
      <c r="H28">
        <f t="shared" si="2"/>
        <v>5.2839708188450263E-3</v>
      </c>
      <c r="I28">
        <f t="shared" si="3"/>
        <v>2.7937343866045551E-2</v>
      </c>
      <c r="J28">
        <f t="shared" si="4"/>
        <v>6.0312093588154609E-3</v>
      </c>
      <c r="K28">
        <f t="shared" si="5"/>
        <v>4.7786419383787131E-2</v>
      </c>
      <c r="L28">
        <f t="shared" si="6"/>
        <v>3.3373077671792956E-2</v>
      </c>
      <c r="N28" s="2">
        <f t="shared" si="7"/>
        <v>31</v>
      </c>
      <c r="O28" s="2">
        <f t="shared" si="8"/>
        <v>206.89000000000033</v>
      </c>
      <c r="P28" s="2">
        <f t="shared" si="9"/>
        <v>78.559999999999491</v>
      </c>
      <c r="Q28" s="2">
        <f t="shared" si="10"/>
        <v>6.3900000000000148</v>
      </c>
      <c r="R28" s="2">
        <f t="shared" si="11"/>
        <v>27.430000000000064</v>
      </c>
    </row>
    <row r="29" spans="1:18" x14ac:dyDescent="0.25">
      <c r="A29" s="6">
        <v>41275</v>
      </c>
      <c r="B29" s="7">
        <v>6276.9</v>
      </c>
      <c r="C29" s="8">
        <v>7776.05</v>
      </c>
      <c r="D29" s="8">
        <v>13860.58</v>
      </c>
      <c r="E29" s="9">
        <v>144.74</v>
      </c>
      <c r="F29" s="14">
        <v>902.09</v>
      </c>
      <c r="G29" s="2"/>
      <c r="H29">
        <f t="shared" si="2"/>
        <v>6.4278205432534069E-2</v>
      </c>
      <c r="I29">
        <f t="shared" si="3"/>
        <v>2.149916123582736E-2</v>
      </c>
      <c r="J29">
        <f t="shared" si="4"/>
        <v>5.7725268502931179E-2</v>
      </c>
      <c r="K29">
        <f t="shared" si="5"/>
        <v>3.3045464278067198E-2</v>
      </c>
      <c r="L29">
        <f t="shared" si="6"/>
        <v>6.2094542885736161E-2</v>
      </c>
      <c r="N29" s="2">
        <f t="shared" si="7"/>
        <v>379.09999999999945</v>
      </c>
      <c r="O29" s="2">
        <f t="shared" si="8"/>
        <v>163.65999999999985</v>
      </c>
      <c r="P29" s="2">
        <f t="shared" si="9"/>
        <v>756.44000000000051</v>
      </c>
      <c r="Q29" s="2">
        <f t="shared" si="10"/>
        <v>4.6299999999999955</v>
      </c>
      <c r="R29" s="2">
        <f t="shared" si="11"/>
        <v>52.740000000000009</v>
      </c>
    </row>
    <row r="30" spans="1:18" x14ac:dyDescent="0.25">
      <c r="A30" s="6">
        <v>41306</v>
      </c>
      <c r="B30" s="7">
        <v>6360.8</v>
      </c>
      <c r="C30" s="8">
        <v>7741.7</v>
      </c>
      <c r="D30" s="8">
        <v>14054.49</v>
      </c>
      <c r="E30" s="9">
        <v>146.87</v>
      </c>
      <c r="F30" s="14">
        <v>911.11</v>
      </c>
      <c r="G30" s="2"/>
      <c r="H30">
        <f t="shared" si="2"/>
        <v>1.3366470710063973E-2</v>
      </c>
      <c r="I30">
        <f t="shared" si="3"/>
        <v>-4.4174098674777508E-3</v>
      </c>
      <c r="J30">
        <f t="shared" si="4"/>
        <v>1.3990035049038341E-2</v>
      </c>
      <c r="K30">
        <f t="shared" si="5"/>
        <v>1.4716042559071406E-2</v>
      </c>
      <c r="L30">
        <f t="shared" si="6"/>
        <v>9.9990023168419796E-3</v>
      </c>
      <c r="N30" s="2">
        <f t="shared" si="7"/>
        <v>83.900000000000546</v>
      </c>
      <c r="O30" s="2">
        <f t="shared" si="8"/>
        <v>-34.350000000000364</v>
      </c>
      <c r="P30" s="2">
        <f t="shared" si="9"/>
        <v>193.90999999999985</v>
      </c>
      <c r="Q30" s="2">
        <f t="shared" si="10"/>
        <v>2.1299999999999955</v>
      </c>
      <c r="R30" s="2">
        <f t="shared" si="11"/>
        <v>9.0199999999999818</v>
      </c>
    </row>
    <row r="31" spans="1:18" x14ac:dyDescent="0.25">
      <c r="A31" s="6">
        <v>41334</v>
      </c>
      <c r="B31" s="7">
        <v>6411.7</v>
      </c>
      <c r="C31" s="8">
        <v>7795.31</v>
      </c>
      <c r="D31" s="8">
        <v>14578.54</v>
      </c>
      <c r="E31" s="9">
        <v>145.71</v>
      </c>
      <c r="F31" s="14">
        <v>951.54</v>
      </c>
      <c r="G31" s="2"/>
      <c r="H31">
        <f t="shared" si="2"/>
        <v>8.0021380958369449E-3</v>
      </c>
      <c r="I31">
        <f t="shared" si="3"/>
        <v>6.9248356304171671E-3</v>
      </c>
      <c r="J31">
        <f t="shared" si="4"/>
        <v>3.7287016462354813E-2</v>
      </c>
      <c r="K31">
        <f t="shared" si="5"/>
        <v>-7.8981412133178764E-3</v>
      </c>
      <c r="L31">
        <f t="shared" si="6"/>
        <v>4.4374444359078433E-2</v>
      </c>
      <c r="N31" s="2">
        <f t="shared" si="7"/>
        <v>50.899999999999636</v>
      </c>
      <c r="O31" s="2">
        <f t="shared" si="8"/>
        <v>53.610000000000582</v>
      </c>
      <c r="P31" s="2">
        <f t="shared" si="9"/>
        <v>524.05000000000109</v>
      </c>
      <c r="Q31" s="2">
        <f t="shared" si="10"/>
        <v>-1.1599999999999966</v>
      </c>
      <c r="R31" s="2">
        <f t="shared" si="11"/>
        <v>40.42999999999995</v>
      </c>
    </row>
    <row r="32" spans="1:18" x14ac:dyDescent="0.25">
      <c r="A32" s="6">
        <v>41365</v>
      </c>
      <c r="B32" s="7">
        <v>6430.1</v>
      </c>
      <c r="C32" s="8">
        <v>7913.71</v>
      </c>
      <c r="D32" s="8">
        <v>14839.8</v>
      </c>
      <c r="E32" s="9">
        <v>153.93</v>
      </c>
      <c r="F32" s="14">
        <v>947.46</v>
      </c>
      <c r="G32" s="2"/>
      <c r="H32">
        <f t="shared" si="2"/>
        <v>2.8697537314597604E-3</v>
      </c>
      <c r="I32">
        <f t="shared" si="3"/>
        <v>1.5188619823971032E-2</v>
      </c>
      <c r="J32">
        <f t="shared" si="4"/>
        <v>1.7920861759819461E-2</v>
      </c>
      <c r="K32">
        <f t="shared" si="5"/>
        <v>5.6413423924233055E-2</v>
      </c>
      <c r="L32">
        <f t="shared" si="6"/>
        <v>-4.2877861151395923E-3</v>
      </c>
      <c r="N32" s="2">
        <f t="shared" si="7"/>
        <v>18.400000000000546</v>
      </c>
      <c r="O32" s="2">
        <f t="shared" si="8"/>
        <v>118.39999999999964</v>
      </c>
      <c r="P32" s="2">
        <f t="shared" si="9"/>
        <v>261.2599999999984</v>
      </c>
      <c r="Q32" s="2">
        <f t="shared" si="10"/>
        <v>8.2199999999999989</v>
      </c>
      <c r="R32" s="2">
        <f t="shared" si="11"/>
        <v>-4.0799999999999272</v>
      </c>
    </row>
    <row r="33" spans="1:18" x14ac:dyDescent="0.25">
      <c r="A33" s="6">
        <v>41395</v>
      </c>
      <c r="B33" s="7">
        <v>6583.1</v>
      </c>
      <c r="C33" s="8">
        <v>8348.84</v>
      </c>
      <c r="D33" s="8">
        <v>15115.57</v>
      </c>
      <c r="E33" s="9">
        <v>143.13999999999999</v>
      </c>
      <c r="F33" s="14">
        <v>984.15</v>
      </c>
      <c r="G33" s="2"/>
      <c r="H33">
        <f t="shared" si="2"/>
        <v>2.3794342234179873E-2</v>
      </c>
      <c r="I33">
        <f t="shared" si="3"/>
        <v>5.4984324671993302E-2</v>
      </c>
      <c r="J33">
        <f t="shared" si="4"/>
        <v>1.8583134543592263E-2</v>
      </c>
      <c r="K33">
        <f t="shared" si="5"/>
        <v>-7.009679724550133E-2</v>
      </c>
      <c r="L33">
        <f t="shared" si="6"/>
        <v>3.8724589956304158E-2</v>
      </c>
      <c r="N33" s="2">
        <f t="shared" si="7"/>
        <v>153</v>
      </c>
      <c r="O33" s="2">
        <f t="shared" si="8"/>
        <v>435.13000000000011</v>
      </c>
      <c r="P33" s="2">
        <f t="shared" si="9"/>
        <v>275.77000000000044</v>
      </c>
      <c r="Q33" s="2">
        <f t="shared" si="10"/>
        <v>-10.79000000000002</v>
      </c>
      <c r="R33" s="2">
        <f t="shared" si="11"/>
        <v>36.689999999999941</v>
      </c>
    </row>
    <row r="34" spans="1:18" x14ac:dyDescent="0.25">
      <c r="A34" s="6">
        <v>41428</v>
      </c>
      <c r="B34" s="7">
        <v>6215.5</v>
      </c>
      <c r="C34" s="8">
        <v>7959.22</v>
      </c>
      <c r="D34" s="8">
        <v>14909.6</v>
      </c>
      <c r="E34" s="9">
        <v>139.33000000000001</v>
      </c>
      <c r="F34" s="14">
        <v>977.48</v>
      </c>
      <c r="G34" s="2"/>
      <c r="H34">
        <f t="shared" si="2"/>
        <v>-5.583995382114814E-2</v>
      </c>
      <c r="I34">
        <f t="shared" si="3"/>
        <v>-4.6667561002486556E-2</v>
      </c>
      <c r="J34">
        <f t="shared" si="4"/>
        <v>-1.3626346872794036E-2</v>
      </c>
      <c r="K34">
        <f t="shared" si="5"/>
        <v>-2.6617297750453919E-2</v>
      </c>
      <c r="L34">
        <f t="shared" si="6"/>
        <v>-6.7774221409337594E-3</v>
      </c>
      <c r="N34" s="2">
        <f t="shared" si="7"/>
        <v>-367.60000000000036</v>
      </c>
      <c r="O34" s="2">
        <f t="shared" si="8"/>
        <v>-389.61999999999989</v>
      </c>
      <c r="P34" s="2">
        <f t="shared" si="9"/>
        <v>-205.96999999999935</v>
      </c>
      <c r="Q34" s="2">
        <f t="shared" si="10"/>
        <v>-3.8099999999999739</v>
      </c>
      <c r="R34" s="2">
        <f t="shared" si="11"/>
        <v>-6.6699999999999591</v>
      </c>
    </row>
    <row r="35" spans="1:18" x14ac:dyDescent="0.25">
      <c r="A35" s="6">
        <v>41456</v>
      </c>
      <c r="B35" s="7">
        <v>6621.1</v>
      </c>
      <c r="C35" s="8">
        <v>8275.9699999999993</v>
      </c>
      <c r="D35" s="8">
        <v>15499.54</v>
      </c>
      <c r="E35" s="9">
        <v>141.99</v>
      </c>
      <c r="F35" s="13">
        <v>1045.26</v>
      </c>
      <c r="G35" s="2"/>
      <c r="H35">
        <f t="shared" si="2"/>
        <v>6.5256214302952351E-2</v>
      </c>
      <c r="I35">
        <f t="shared" si="3"/>
        <v>3.9796613235970245E-2</v>
      </c>
      <c r="J35">
        <f t="shared" si="4"/>
        <v>3.9567795246016023E-2</v>
      </c>
      <c r="K35">
        <f t="shared" si="5"/>
        <v>1.9091365822148831E-2</v>
      </c>
      <c r="L35">
        <f t="shared" si="6"/>
        <v>6.934157220608092E-2</v>
      </c>
      <c r="N35" s="2">
        <f t="shared" si="7"/>
        <v>405.60000000000036</v>
      </c>
      <c r="O35" s="2">
        <f t="shared" si="8"/>
        <v>316.74999999999909</v>
      </c>
      <c r="P35" s="2">
        <f t="shared" si="9"/>
        <v>589.94000000000051</v>
      </c>
      <c r="Q35" s="2">
        <f t="shared" si="10"/>
        <v>2.6599999999999966</v>
      </c>
      <c r="R35" s="2">
        <f t="shared" si="11"/>
        <v>67.779999999999973</v>
      </c>
    </row>
    <row r="36" spans="1:18" x14ac:dyDescent="0.25">
      <c r="A36" s="6">
        <v>41487</v>
      </c>
      <c r="B36" s="7">
        <v>6412.9</v>
      </c>
      <c r="C36" s="8">
        <v>8103.15</v>
      </c>
      <c r="D36" s="8">
        <v>14810.31</v>
      </c>
      <c r="E36" s="9">
        <v>141.77000000000001</v>
      </c>
      <c r="F36" s="13">
        <v>1010.9</v>
      </c>
      <c r="G36" s="2"/>
      <c r="H36">
        <f t="shared" si="2"/>
        <v>-3.1444926069686414E-2</v>
      </c>
      <c r="I36">
        <f t="shared" si="3"/>
        <v>-2.0882144328701013E-2</v>
      </c>
      <c r="J36">
        <f t="shared" si="4"/>
        <v>-4.4467771301600005E-2</v>
      </c>
      <c r="K36">
        <f t="shared" si="5"/>
        <v>-1.5494048876681374E-3</v>
      </c>
      <c r="L36">
        <f t="shared" si="6"/>
        <v>-3.2872204044926634E-2</v>
      </c>
      <c r="N36" s="2">
        <f t="shared" si="7"/>
        <v>-208.20000000000073</v>
      </c>
      <c r="O36" s="2">
        <f t="shared" si="8"/>
        <v>-172.81999999999971</v>
      </c>
      <c r="P36" s="2">
        <f t="shared" si="9"/>
        <v>-689.23000000000138</v>
      </c>
      <c r="Q36" s="2">
        <f t="shared" si="10"/>
        <v>-0.21999999999999886</v>
      </c>
      <c r="R36" s="2">
        <f t="shared" si="11"/>
        <v>-34.360000000000014</v>
      </c>
    </row>
    <row r="37" spans="1:18" x14ac:dyDescent="0.25">
      <c r="A37" s="6">
        <v>41519</v>
      </c>
      <c r="B37" s="7">
        <v>6462.2</v>
      </c>
      <c r="C37" s="8">
        <v>8594.4</v>
      </c>
      <c r="D37" s="8">
        <v>15129.67</v>
      </c>
      <c r="E37" s="9">
        <v>150.03</v>
      </c>
      <c r="F37" s="13">
        <v>1073.79</v>
      </c>
      <c r="G37" s="2"/>
      <c r="H37">
        <f t="shared" si="2"/>
        <v>7.687629621544104E-3</v>
      </c>
      <c r="I37">
        <f t="shared" si="3"/>
        <v>6.062457192573259E-2</v>
      </c>
      <c r="J37">
        <f t="shared" si="4"/>
        <v>2.1563356877742641E-2</v>
      </c>
      <c r="K37">
        <f t="shared" si="5"/>
        <v>5.8263384354941036E-2</v>
      </c>
      <c r="L37">
        <f t="shared" si="6"/>
        <v>6.221189039469778E-2</v>
      </c>
      <c r="N37" s="2">
        <f t="shared" si="7"/>
        <v>49.300000000000182</v>
      </c>
      <c r="O37" s="2">
        <f t="shared" si="8"/>
        <v>491.25</v>
      </c>
      <c r="P37" s="2">
        <f t="shared" si="9"/>
        <v>319.36000000000058</v>
      </c>
      <c r="Q37" s="2">
        <f t="shared" si="10"/>
        <v>8.2599999999999909</v>
      </c>
      <c r="R37" s="2">
        <f t="shared" si="11"/>
        <v>62.889999999999986</v>
      </c>
    </row>
    <row r="38" spans="1:18" x14ac:dyDescent="0.25">
      <c r="A38" s="6">
        <v>41548</v>
      </c>
      <c r="B38" s="7">
        <v>6731.4</v>
      </c>
      <c r="C38" s="8">
        <v>9033.92</v>
      </c>
      <c r="D38" s="8">
        <v>15545.75</v>
      </c>
      <c r="E38" s="9">
        <v>154.22999999999999</v>
      </c>
      <c r="F38" s="13">
        <v>1100.1500000000001</v>
      </c>
      <c r="G38" s="2"/>
      <c r="H38">
        <f t="shared" si="2"/>
        <v>4.1657639813066728E-2</v>
      </c>
      <c r="I38">
        <f t="shared" si="3"/>
        <v>5.1140277389928379E-2</v>
      </c>
      <c r="J38">
        <f t="shared" si="4"/>
        <v>2.7500930291275351E-2</v>
      </c>
      <c r="K38">
        <f t="shared" si="5"/>
        <v>2.7994401119775969E-2</v>
      </c>
      <c r="L38">
        <f t="shared" si="6"/>
        <v>2.4548561636819236E-2</v>
      </c>
      <c r="N38" s="2">
        <f t="shared" si="7"/>
        <v>269.19999999999982</v>
      </c>
      <c r="O38" s="2">
        <f t="shared" si="8"/>
        <v>439.52000000000044</v>
      </c>
      <c r="P38" s="2">
        <f t="shared" si="9"/>
        <v>416.07999999999993</v>
      </c>
      <c r="Q38" s="2">
        <f t="shared" si="10"/>
        <v>4.1999999999999886</v>
      </c>
      <c r="R38" s="2">
        <f t="shared" si="11"/>
        <v>26.360000000000127</v>
      </c>
    </row>
    <row r="39" spans="1:18" x14ac:dyDescent="0.25">
      <c r="A39" s="6">
        <v>41579</v>
      </c>
      <c r="B39" s="7">
        <v>6650.6</v>
      </c>
      <c r="C39" s="8">
        <v>9405.2999999999993</v>
      </c>
      <c r="D39" s="8">
        <v>16086.41</v>
      </c>
      <c r="E39" s="9">
        <v>153.91999999999999</v>
      </c>
      <c r="F39" s="13">
        <v>1142.8900000000001</v>
      </c>
      <c r="G39" s="2"/>
      <c r="H39">
        <f t="shared" si="2"/>
        <v>-1.2003446534153263E-2</v>
      </c>
      <c r="I39">
        <f t="shared" si="3"/>
        <v>4.110950727923196E-2</v>
      </c>
      <c r="J39">
        <f t="shared" si="4"/>
        <v>3.4778637248122468E-2</v>
      </c>
      <c r="K39">
        <f t="shared" si="5"/>
        <v>-2.0099850872074324E-3</v>
      </c>
      <c r="L39">
        <f t="shared" si="6"/>
        <v>3.8849247829841393E-2</v>
      </c>
      <c r="N39" s="2">
        <f t="shared" si="7"/>
        <v>-80.799999999999272</v>
      </c>
      <c r="O39" s="2">
        <f t="shared" si="8"/>
        <v>371.3799999999992</v>
      </c>
      <c r="P39" s="2">
        <f t="shared" si="9"/>
        <v>540.65999999999985</v>
      </c>
      <c r="Q39" s="2">
        <f t="shared" si="10"/>
        <v>-0.31000000000000227</v>
      </c>
      <c r="R39" s="2">
        <f t="shared" si="11"/>
        <v>42.740000000000009</v>
      </c>
    </row>
    <row r="40" spans="1:18" x14ac:dyDescent="0.25">
      <c r="A40" s="6">
        <v>41610</v>
      </c>
      <c r="B40" s="7">
        <v>6749.1</v>
      </c>
      <c r="C40" s="8">
        <v>9552.16</v>
      </c>
      <c r="D40" s="8">
        <v>16576.66</v>
      </c>
      <c r="E40" s="9">
        <v>152.19</v>
      </c>
      <c r="F40" s="13">
        <v>1163.6400000000001</v>
      </c>
      <c r="G40" s="2"/>
      <c r="H40">
        <f t="shared" si="2"/>
        <v>1.4810693771990496E-2</v>
      </c>
      <c r="I40">
        <f t="shared" si="3"/>
        <v>1.5614600278566404E-2</v>
      </c>
      <c r="J40">
        <f t="shared" si="4"/>
        <v>3.0476035361525662E-2</v>
      </c>
      <c r="K40">
        <f t="shared" si="5"/>
        <v>-1.1239604989604924E-2</v>
      </c>
      <c r="L40">
        <f t="shared" si="6"/>
        <v>1.8155728022819343E-2</v>
      </c>
      <c r="N40" s="2">
        <f t="shared" si="7"/>
        <v>98.5</v>
      </c>
      <c r="O40" s="2">
        <f t="shared" si="8"/>
        <v>146.86000000000058</v>
      </c>
      <c r="P40" s="2">
        <f t="shared" si="9"/>
        <v>490.25</v>
      </c>
      <c r="Q40" s="2">
        <f t="shared" si="10"/>
        <v>-1.7299999999999898</v>
      </c>
      <c r="R40" s="2">
        <f t="shared" si="11"/>
        <v>20.75</v>
      </c>
    </row>
    <row r="41" spans="1:18" x14ac:dyDescent="0.25">
      <c r="A41" s="6">
        <v>41640</v>
      </c>
      <c r="B41" s="7">
        <v>6510.4</v>
      </c>
      <c r="C41" s="8">
        <v>9306.48</v>
      </c>
      <c r="D41" s="8">
        <v>15698.85</v>
      </c>
      <c r="E41" s="9">
        <v>143.36000000000001</v>
      </c>
      <c r="F41" s="13">
        <v>1130.8800000000001</v>
      </c>
      <c r="G41" s="2"/>
      <c r="H41">
        <f t="shared" si="2"/>
        <v>-3.5367678653450196E-2</v>
      </c>
      <c r="I41">
        <f t="shared" si="3"/>
        <v>-2.5719837188656836E-2</v>
      </c>
      <c r="J41">
        <f t="shared" si="4"/>
        <v>-5.2954575891645213E-2</v>
      </c>
      <c r="K41">
        <f t="shared" si="5"/>
        <v>-5.801958078717382E-2</v>
      </c>
      <c r="L41">
        <f t="shared" si="6"/>
        <v>-2.8153037021759298E-2</v>
      </c>
      <c r="N41" s="2">
        <f t="shared" si="7"/>
        <v>-238.70000000000073</v>
      </c>
      <c r="O41" s="2">
        <f t="shared" si="8"/>
        <v>-245.68000000000029</v>
      </c>
      <c r="P41" s="2">
        <f t="shared" si="9"/>
        <v>-877.80999999999949</v>
      </c>
      <c r="Q41" s="2">
        <f t="shared" si="10"/>
        <v>-8.8299999999999841</v>
      </c>
      <c r="R41" s="2">
        <f t="shared" si="11"/>
        <v>-32.759999999999991</v>
      </c>
    </row>
    <row r="42" spans="1:18" x14ac:dyDescent="0.25">
      <c r="A42" s="6">
        <v>41673</v>
      </c>
      <c r="B42" s="7">
        <v>6809.7</v>
      </c>
      <c r="C42" s="8">
        <v>9692.08</v>
      </c>
      <c r="D42" s="8">
        <v>16321.71</v>
      </c>
      <c r="E42" s="9">
        <v>146.84</v>
      </c>
      <c r="F42" s="13">
        <v>1183.03</v>
      </c>
      <c r="G42" s="2"/>
      <c r="H42">
        <f t="shared" si="2"/>
        <v>4.5972597689850118E-2</v>
      </c>
      <c r="I42">
        <f t="shared" si="3"/>
        <v>4.1433495800775412E-2</v>
      </c>
      <c r="J42">
        <f t="shared" si="4"/>
        <v>3.9675517633457148E-2</v>
      </c>
      <c r="K42">
        <f t="shared" si="5"/>
        <v>2.4274553571428499E-2</v>
      </c>
      <c r="L42">
        <f t="shared" si="6"/>
        <v>4.6114530277306047E-2</v>
      </c>
      <c r="N42" s="2">
        <f t="shared" si="7"/>
        <v>299.30000000000018</v>
      </c>
      <c r="O42" s="2">
        <f t="shared" si="8"/>
        <v>385.60000000000036</v>
      </c>
      <c r="P42" s="2">
        <f t="shared" si="9"/>
        <v>622.85999999999876</v>
      </c>
      <c r="Q42" s="2">
        <f t="shared" si="10"/>
        <v>3.4799999999999898</v>
      </c>
      <c r="R42" s="2">
        <f t="shared" si="11"/>
        <v>52.149999999999864</v>
      </c>
    </row>
    <row r="43" spans="1:18" x14ac:dyDescent="0.25">
      <c r="A43" s="6">
        <v>41701</v>
      </c>
      <c r="B43" s="7">
        <v>6598.4</v>
      </c>
      <c r="C43" s="8">
        <v>9555.91</v>
      </c>
      <c r="D43" s="8">
        <v>16457.66</v>
      </c>
      <c r="E43" s="9">
        <v>146.93</v>
      </c>
      <c r="F43" s="13">
        <v>1173.04</v>
      </c>
      <c r="G43" s="2"/>
      <c r="H43">
        <f t="shared" si="2"/>
        <v>-3.1029267074907881E-2</v>
      </c>
      <c r="I43">
        <f t="shared" si="3"/>
        <v>-1.4049615768751401E-2</v>
      </c>
      <c r="J43">
        <f t="shared" si="4"/>
        <v>8.3293968585399902E-3</v>
      </c>
      <c r="K43">
        <f t="shared" si="5"/>
        <v>6.1291201307547946E-4</v>
      </c>
      <c r="L43">
        <f t="shared" si="6"/>
        <v>-8.4444181466235089E-3</v>
      </c>
      <c r="N43" s="2">
        <f t="shared" si="7"/>
        <v>-211.30000000000018</v>
      </c>
      <c r="O43" s="2">
        <f t="shared" si="8"/>
        <v>-136.17000000000007</v>
      </c>
      <c r="P43" s="2">
        <f t="shared" si="9"/>
        <v>135.95000000000073</v>
      </c>
      <c r="Q43" s="2">
        <f t="shared" si="10"/>
        <v>9.0000000000003411E-2</v>
      </c>
      <c r="R43" s="2">
        <f t="shared" si="11"/>
        <v>-9.9900000000000091</v>
      </c>
    </row>
    <row r="44" spans="1:18" x14ac:dyDescent="0.25">
      <c r="A44" s="6">
        <v>41730</v>
      </c>
      <c r="B44" s="7">
        <v>6780</v>
      </c>
      <c r="C44" s="8">
        <v>9603.23</v>
      </c>
      <c r="D44" s="8">
        <v>16580.84</v>
      </c>
      <c r="E44" s="9">
        <v>146.08000000000001</v>
      </c>
      <c r="F44" s="13">
        <v>1126.8599999999999</v>
      </c>
      <c r="G44" s="2"/>
      <c r="H44">
        <f t="shared" si="2"/>
        <v>2.7521823472356991E-2</v>
      </c>
      <c r="I44">
        <f t="shared" si="3"/>
        <v>4.9519093419674014E-3</v>
      </c>
      <c r="J44">
        <f t="shared" si="4"/>
        <v>7.4846606382681551E-3</v>
      </c>
      <c r="K44">
        <f t="shared" si="5"/>
        <v>-5.7850677193220876E-3</v>
      </c>
      <c r="L44">
        <f t="shared" si="6"/>
        <v>-3.9367796494578243E-2</v>
      </c>
      <c r="N44" s="2">
        <f t="shared" si="7"/>
        <v>181.60000000000036</v>
      </c>
      <c r="O44" s="2">
        <f t="shared" si="8"/>
        <v>47.319999999999709</v>
      </c>
      <c r="P44" s="2">
        <f t="shared" si="9"/>
        <v>123.18000000000029</v>
      </c>
      <c r="Q44" s="2">
        <f t="shared" si="10"/>
        <v>-0.84999999999999432</v>
      </c>
      <c r="R44" s="2">
        <f t="shared" si="11"/>
        <v>-46.180000000000064</v>
      </c>
    </row>
    <row r="45" spans="1:18" x14ac:dyDescent="0.25">
      <c r="A45" s="6">
        <v>41760</v>
      </c>
      <c r="B45" s="7">
        <v>6844.5</v>
      </c>
      <c r="C45" s="8">
        <v>9943.27</v>
      </c>
      <c r="D45" s="8">
        <v>16717.169999999998</v>
      </c>
      <c r="E45" s="9">
        <v>150.88999999999999</v>
      </c>
      <c r="F45" s="13">
        <v>1134.5</v>
      </c>
      <c r="G45" s="2"/>
      <c r="H45">
        <f t="shared" si="2"/>
        <v>9.5132743362831857E-3</v>
      </c>
      <c r="I45">
        <f t="shared" si="3"/>
        <v>3.5408919707223596E-2</v>
      </c>
      <c r="J45">
        <f t="shared" si="4"/>
        <v>8.2221407359336501E-3</v>
      </c>
      <c r="K45">
        <f t="shared" si="5"/>
        <v>3.2927163198247351E-2</v>
      </c>
      <c r="L45">
        <f t="shared" si="6"/>
        <v>6.7799016736773869E-3</v>
      </c>
      <c r="N45" s="2">
        <f t="shared" si="7"/>
        <v>64.5</v>
      </c>
      <c r="O45" s="2">
        <f t="shared" si="8"/>
        <v>340.04000000000087</v>
      </c>
      <c r="P45" s="2">
        <f t="shared" si="9"/>
        <v>136.32999999999811</v>
      </c>
      <c r="Q45" s="2">
        <f t="shared" si="10"/>
        <v>4.8099999999999739</v>
      </c>
      <c r="R45" s="2">
        <f t="shared" si="11"/>
        <v>7.6400000000001</v>
      </c>
    </row>
    <row r="46" spans="1:18" x14ac:dyDescent="0.25">
      <c r="A46" s="6">
        <v>41792</v>
      </c>
      <c r="B46" s="7">
        <v>6743.9</v>
      </c>
      <c r="C46" s="8">
        <v>9833.07</v>
      </c>
      <c r="D46" s="8">
        <v>16826.599999999999</v>
      </c>
      <c r="E46" s="9">
        <v>153.93</v>
      </c>
      <c r="F46" s="13">
        <v>1192.96</v>
      </c>
      <c r="G46" s="2"/>
      <c r="H46">
        <f t="shared" si="2"/>
        <v>-1.4697932646650648E-2</v>
      </c>
      <c r="I46">
        <f t="shared" si="3"/>
        <v>-1.1082873139319431E-2</v>
      </c>
      <c r="J46">
        <f t="shared" si="4"/>
        <v>6.54596441861872E-3</v>
      </c>
      <c r="K46">
        <f t="shared" si="5"/>
        <v>2.0147127046192728E-2</v>
      </c>
      <c r="L46">
        <f t="shared" si="6"/>
        <v>5.1529308065227007E-2</v>
      </c>
      <c r="N46" s="2">
        <f t="shared" si="7"/>
        <v>-100.60000000000036</v>
      </c>
      <c r="O46" s="2">
        <f t="shared" si="8"/>
        <v>-110.20000000000073</v>
      </c>
      <c r="P46" s="2">
        <f t="shared" si="9"/>
        <v>109.43000000000029</v>
      </c>
      <c r="Q46" s="2">
        <f t="shared" si="10"/>
        <v>3.0400000000000205</v>
      </c>
      <c r="R46" s="2">
        <f t="shared" si="11"/>
        <v>58.460000000000036</v>
      </c>
    </row>
    <row r="47" spans="1:18" x14ac:dyDescent="0.25">
      <c r="A47" s="6">
        <v>41821</v>
      </c>
      <c r="B47" s="7">
        <v>6730.1</v>
      </c>
      <c r="C47" s="8">
        <v>9407.48</v>
      </c>
      <c r="D47" s="8">
        <v>16563.3</v>
      </c>
      <c r="E47" s="9">
        <v>157.04</v>
      </c>
      <c r="F47" s="13">
        <v>1120.07</v>
      </c>
      <c r="G47" s="2"/>
      <c r="H47">
        <f t="shared" si="2"/>
        <v>-2.0462936876287125E-3</v>
      </c>
      <c r="I47">
        <f t="shared" si="3"/>
        <v>-4.3281498046896863E-2</v>
      </c>
      <c r="J47">
        <f t="shared" si="4"/>
        <v>-1.5647843295734095E-2</v>
      </c>
      <c r="K47">
        <f t="shared" si="5"/>
        <v>2.0203988826089685E-2</v>
      </c>
      <c r="L47">
        <f t="shared" si="6"/>
        <v>-6.1100120708154591E-2</v>
      </c>
      <c r="N47" s="2">
        <f t="shared" si="7"/>
        <v>-13.799999999999272</v>
      </c>
      <c r="O47" s="2">
        <f t="shared" si="8"/>
        <v>-425.59000000000015</v>
      </c>
      <c r="P47" s="2">
        <f t="shared" si="9"/>
        <v>-263.29999999999927</v>
      </c>
      <c r="Q47" s="2">
        <f t="shared" si="10"/>
        <v>3.1099999999999852</v>
      </c>
      <c r="R47" s="2">
        <f t="shared" si="11"/>
        <v>-72.8900000000001</v>
      </c>
    </row>
    <row r="48" spans="1:18" x14ac:dyDescent="0.25">
      <c r="A48" s="6">
        <v>41852</v>
      </c>
      <c r="B48" s="7">
        <v>6819.8</v>
      </c>
      <c r="C48" s="8">
        <v>9470.17</v>
      </c>
      <c r="D48" s="8">
        <v>17098.45</v>
      </c>
      <c r="E48" s="9">
        <v>154.47999999999999</v>
      </c>
      <c r="F48" s="13">
        <v>1174.3499999999999</v>
      </c>
      <c r="G48" s="2"/>
      <c r="H48">
        <f t="shared" si="2"/>
        <v>1.3328182344987416E-2</v>
      </c>
      <c r="I48">
        <f t="shared" si="3"/>
        <v>6.6638462159898841E-3</v>
      </c>
      <c r="J48">
        <f t="shared" si="4"/>
        <v>3.2309382792076548E-2</v>
      </c>
      <c r="K48">
        <f t="shared" si="5"/>
        <v>-1.6301579215486514E-2</v>
      </c>
      <c r="L48">
        <f t="shared" si="6"/>
        <v>4.8461256885730337E-2</v>
      </c>
      <c r="N48" s="2">
        <f t="shared" si="7"/>
        <v>89.699999999999818</v>
      </c>
      <c r="O48" s="2">
        <f t="shared" si="8"/>
        <v>62.690000000000509</v>
      </c>
      <c r="P48" s="2">
        <f t="shared" si="9"/>
        <v>535.15000000000146</v>
      </c>
      <c r="Q48" s="2">
        <f t="shared" si="10"/>
        <v>-2.5600000000000023</v>
      </c>
      <c r="R48" s="2">
        <f t="shared" si="11"/>
        <v>54.279999999999973</v>
      </c>
    </row>
    <row r="49" spans="1:18" x14ac:dyDescent="0.25">
      <c r="A49" s="6">
        <v>41883</v>
      </c>
      <c r="B49" s="7">
        <v>6622.7</v>
      </c>
      <c r="C49" s="8">
        <v>9474.2999999999993</v>
      </c>
      <c r="D49" s="8">
        <v>17042.900000000001</v>
      </c>
      <c r="E49" s="9">
        <v>144.94</v>
      </c>
      <c r="F49" s="13">
        <v>1101.68</v>
      </c>
      <c r="G49" s="2"/>
      <c r="H49">
        <f t="shared" si="2"/>
        <v>-2.890114079591782E-2</v>
      </c>
      <c r="I49">
        <f t="shared" si="3"/>
        <v>4.361062156222327E-4</v>
      </c>
      <c r="J49">
        <f t="shared" si="4"/>
        <v>-3.2488324965127993E-3</v>
      </c>
      <c r="K49">
        <f t="shared" si="5"/>
        <v>-6.1755567063697517E-2</v>
      </c>
      <c r="L49">
        <f t="shared" si="6"/>
        <v>-6.188104057563746E-2</v>
      </c>
      <c r="N49" s="2">
        <f t="shared" si="7"/>
        <v>-197.10000000000036</v>
      </c>
      <c r="O49" s="2">
        <f t="shared" si="8"/>
        <v>4.1299999999991996</v>
      </c>
      <c r="P49" s="2">
        <f t="shared" si="9"/>
        <v>-55.549999999999272</v>
      </c>
      <c r="Q49" s="2">
        <f t="shared" si="10"/>
        <v>-9.539999999999992</v>
      </c>
      <c r="R49" s="2">
        <f t="shared" si="11"/>
        <v>-72.669999999999845</v>
      </c>
    </row>
    <row r="50" spans="1:18" x14ac:dyDescent="0.25">
      <c r="A50" s="6">
        <v>41913</v>
      </c>
      <c r="B50" s="7">
        <v>6546.5</v>
      </c>
      <c r="C50" s="8">
        <v>9326.8700000000008</v>
      </c>
      <c r="D50" s="8">
        <v>17390.52</v>
      </c>
      <c r="E50" s="9">
        <v>147.76</v>
      </c>
      <c r="F50" s="13">
        <v>1173.51</v>
      </c>
      <c r="G50" s="2"/>
      <c r="H50">
        <f t="shared" si="2"/>
        <v>-1.1505881287088321E-2</v>
      </c>
      <c r="I50">
        <f t="shared" si="3"/>
        <v>-1.5561044087689695E-2</v>
      </c>
      <c r="J50">
        <f t="shared" si="4"/>
        <v>2.0396763461617385E-2</v>
      </c>
      <c r="K50">
        <f t="shared" si="5"/>
        <v>1.9456326755898947E-2</v>
      </c>
      <c r="L50">
        <f t="shared" si="6"/>
        <v>6.5200421174932757E-2</v>
      </c>
      <c r="N50" s="2">
        <f t="shared" si="7"/>
        <v>-76.199999999999818</v>
      </c>
      <c r="O50" s="2">
        <f t="shared" si="8"/>
        <v>-147.42999999999847</v>
      </c>
      <c r="P50" s="2">
        <f t="shared" si="9"/>
        <v>347.61999999999898</v>
      </c>
      <c r="Q50" s="2">
        <f t="shared" si="10"/>
        <v>2.8199999999999932</v>
      </c>
      <c r="R50" s="2">
        <f t="shared" si="11"/>
        <v>71.829999999999927</v>
      </c>
    </row>
    <row r="51" spans="1:18" x14ac:dyDescent="0.25">
      <c r="A51" s="6">
        <v>41946</v>
      </c>
      <c r="B51" s="7">
        <v>6722.6</v>
      </c>
      <c r="C51" s="8">
        <v>9980.85</v>
      </c>
      <c r="D51" s="8">
        <v>17828.240000000002</v>
      </c>
      <c r="E51" s="9">
        <v>145.07</v>
      </c>
      <c r="F51" s="13">
        <v>1173.23</v>
      </c>
      <c r="G51" s="2"/>
      <c r="H51">
        <f t="shared" si="2"/>
        <v>2.6899870159627338E-2</v>
      </c>
      <c r="I51">
        <f t="shared" si="3"/>
        <v>7.0117842320092327E-2</v>
      </c>
      <c r="J51">
        <f t="shared" si="4"/>
        <v>2.517003516858617E-2</v>
      </c>
      <c r="K51">
        <f t="shared" si="5"/>
        <v>-1.8205197617758514E-2</v>
      </c>
      <c r="L51">
        <f t="shared" si="6"/>
        <v>-2.3860043800220937E-4</v>
      </c>
      <c r="N51" s="2">
        <f t="shared" si="7"/>
        <v>176.10000000000036</v>
      </c>
      <c r="O51" s="2">
        <f t="shared" si="8"/>
        <v>653.97999999999956</v>
      </c>
      <c r="P51" s="2">
        <f t="shared" si="9"/>
        <v>437.72000000000116</v>
      </c>
      <c r="Q51" s="2">
        <f t="shared" si="10"/>
        <v>-2.6899999999999977</v>
      </c>
      <c r="R51" s="2">
        <f t="shared" si="11"/>
        <v>-0.27999999999997272</v>
      </c>
    </row>
    <row r="52" spans="1:18" x14ac:dyDescent="0.25">
      <c r="A52" s="6">
        <v>41974</v>
      </c>
      <c r="B52" s="7">
        <v>6566.1</v>
      </c>
      <c r="C52" s="8">
        <v>9805.5499999999993</v>
      </c>
      <c r="D52" s="8">
        <v>17823.07</v>
      </c>
      <c r="E52" s="9">
        <v>142.21</v>
      </c>
      <c r="F52" s="13">
        <v>1204.7</v>
      </c>
      <c r="G52" s="2"/>
      <c r="H52">
        <f t="shared" si="2"/>
        <v>-2.3279683455805788E-2</v>
      </c>
      <c r="I52">
        <f t="shared" si="3"/>
        <v>-1.7563634359799123E-2</v>
      </c>
      <c r="J52">
        <f t="shared" si="4"/>
        <v>-2.8998936518702303E-4</v>
      </c>
      <c r="K52">
        <f t="shared" si="5"/>
        <v>-1.9714620528020855E-2</v>
      </c>
      <c r="L52">
        <f t="shared" si="6"/>
        <v>2.6823385014021144E-2</v>
      </c>
      <c r="N52" s="2">
        <f t="shared" si="7"/>
        <v>-156.5</v>
      </c>
      <c r="O52" s="2">
        <f t="shared" si="8"/>
        <v>-175.30000000000109</v>
      </c>
      <c r="P52" s="2">
        <f t="shared" si="9"/>
        <v>-5.1700000000018917</v>
      </c>
      <c r="Q52" s="2">
        <f t="shared" si="10"/>
        <v>-2.8599999999999852</v>
      </c>
      <c r="R52" s="2">
        <f t="shared" si="11"/>
        <v>31.470000000000027</v>
      </c>
    </row>
    <row r="53" spans="1:18" x14ac:dyDescent="0.25">
      <c r="A53" s="6">
        <v>42006</v>
      </c>
      <c r="B53" s="7">
        <v>6749.4</v>
      </c>
      <c r="C53" s="8">
        <v>10694.32</v>
      </c>
      <c r="D53" s="8">
        <v>17164.95</v>
      </c>
      <c r="E53" s="9">
        <v>143.97</v>
      </c>
      <c r="F53" s="13">
        <v>1165.3900000000001</v>
      </c>
      <c r="G53" s="2"/>
      <c r="H53">
        <f t="shared" si="2"/>
        <v>2.7916114588568443E-2</v>
      </c>
      <c r="I53">
        <f t="shared" si="3"/>
        <v>9.0639484781577837E-2</v>
      </c>
      <c r="J53">
        <f t="shared" si="4"/>
        <v>-3.6925176190184913E-2</v>
      </c>
      <c r="K53">
        <f t="shared" si="5"/>
        <v>1.2376063567962807E-2</v>
      </c>
      <c r="L53">
        <f t="shared" si="6"/>
        <v>-3.263053042251178E-2</v>
      </c>
      <c r="N53" s="2">
        <f t="shared" si="7"/>
        <v>183.29999999999927</v>
      </c>
      <c r="O53" s="2">
        <f t="shared" si="8"/>
        <v>888.77000000000044</v>
      </c>
      <c r="P53" s="2">
        <f t="shared" si="9"/>
        <v>-658.11999999999898</v>
      </c>
      <c r="Q53" s="2">
        <f t="shared" si="10"/>
        <v>1.7599999999999909</v>
      </c>
      <c r="R53" s="2">
        <f t="shared" si="11"/>
        <v>-39.309999999999945</v>
      </c>
    </row>
    <row r="54" spans="1:18" x14ac:dyDescent="0.25">
      <c r="A54" s="6">
        <v>42037</v>
      </c>
      <c r="B54" s="7">
        <v>6946.7</v>
      </c>
      <c r="C54" s="8">
        <v>11401.66</v>
      </c>
      <c r="D54" s="8">
        <v>18132.7</v>
      </c>
      <c r="E54" s="9">
        <v>151.88</v>
      </c>
      <c r="F54" s="13">
        <v>1233.3699999999999</v>
      </c>
      <c r="G54" s="2"/>
      <c r="H54">
        <f t="shared" si="2"/>
        <v>2.923222804990076E-2</v>
      </c>
      <c r="I54">
        <f t="shared" si="3"/>
        <v>6.6141652765206213E-2</v>
      </c>
      <c r="J54">
        <f t="shared" si="4"/>
        <v>5.6379424350202011E-2</v>
      </c>
      <c r="K54">
        <f t="shared" si="5"/>
        <v>5.494200180593177E-2</v>
      </c>
      <c r="L54">
        <f t="shared" si="6"/>
        <v>5.8332403744668984E-2</v>
      </c>
      <c r="N54" s="2">
        <f t="shared" si="7"/>
        <v>197.30000000000018</v>
      </c>
      <c r="O54" s="2">
        <f t="shared" si="8"/>
        <v>707.34000000000015</v>
      </c>
      <c r="P54" s="2">
        <f t="shared" si="9"/>
        <v>967.75</v>
      </c>
      <c r="Q54" s="2">
        <f t="shared" si="10"/>
        <v>7.9099999999999966</v>
      </c>
      <c r="R54" s="2">
        <f t="shared" si="11"/>
        <v>67.979999999999791</v>
      </c>
    </row>
    <row r="55" spans="1:18" x14ac:dyDescent="0.25">
      <c r="A55" s="6">
        <v>42065</v>
      </c>
      <c r="B55" s="7">
        <v>6773</v>
      </c>
      <c r="C55" s="8">
        <v>11966.17</v>
      </c>
      <c r="D55" s="8">
        <v>17776.12</v>
      </c>
      <c r="E55" s="9">
        <v>151.66999999999999</v>
      </c>
      <c r="F55" s="13">
        <v>1252.77</v>
      </c>
      <c r="G55" s="2"/>
      <c r="H55">
        <f t="shared" si="2"/>
        <v>-2.5004678480429532E-2</v>
      </c>
      <c r="I55">
        <f t="shared" si="3"/>
        <v>4.9511211525339313E-2</v>
      </c>
      <c r="J55">
        <f t="shared" si="4"/>
        <v>-1.9665025065213771E-2</v>
      </c>
      <c r="K55">
        <f t="shared" si="5"/>
        <v>-1.3826705293653407E-3</v>
      </c>
      <c r="L55">
        <f t="shared" si="6"/>
        <v>1.5729262103018633E-2</v>
      </c>
      <c r="N55" s="2">
        <f t="shared" si="7"/>
        <v>-173.69999999999982</v>
      </c>
      <c r="O55" s="2">
        <f t="shared" si="8"/>
        <v>564.51000000000022</v>
      </c>
      <c r="P55" s="2">
        <f t="shared" si="9"/>
        <v>-356.58000000000175</v>
      </c>
      <c r="Q55" s="2">
        <f t="shared" si="10"/>
        <v>-0.21000000000000796</v>
      </c>
      <c r="R55" s="2">
        <f t="shared" si="11"/>
        <v>19.400000000000091</v>
      </c>
    </row>
    <row r="56" spans="1:18" x14ac:dyDescent="0.25">
      <c r="A56" s="6">
        <v>42095</v>
      </c>
      <c r="B56" s="7">
        <v>6960.6</v>
      </c>
      <c r="C56" s="8">
        <v>11454.38</v>
      </c>
      <c r="D56" s="8">
        <v>17840.52</v>
      </c>
      <c r="E56" s="9">
        <v>159.51</v>
      </c>
      <c r="F56" s="13">
        <v>1220.1300000000001</v>
      </c>
      <c r="G56" s="2"/>
      <c r="H56">
        <f t="shared" si="2"/>
        <v>2.7698213494758653E-2</v>
      </c>
      <c r="I56">
        <f t="shared" si="3"/>
        <v>-4.2769741696800305E-2</v>
      </c>
      <c r="J56">
        <f t="shared" si="4"/>
        <v>3.6228378296276949E-3</v>
      </c>
      <c r="K56">
        <f t="shared" si="5"/>
        <v>5.1691171622601728E-2</v>
      </c>
      <c r="L56">
        <f t="shared" si="6"/>
        <v>-2.6054263751526516E-2</v>
      </c>
      <c r="N56" s="2">
        <f t="shared" si="7"/>
        <v>187.60000000000036</v>
      </c>
      <c r="O56" s="2">
        <f t="shared" si="8"/>
        <v>-511.79000000000087</v>
      </c>
      <c r="P56" s="2">
        <f t="shared" si="9"/>
        <v>64.400000000001455</v>
      </c>
      <c r="Q56" s="2">
        <f t="shared" si="10"/>
        <v>7.8400000000000034</v>
      </c>
      <c r="R56" s="2">
        <f t="shared" si="11"/>
        <v>-32.639999999999873</v>
      </c>
    </row>
    <row r="57" spans="1:18" x14ac:dyDescent="0.25">
      <c r="A57" s="6">
        <v>42125</v>
      </c>
      <c r="B57" s="7">
        <v>6984.4</v>
      </c>
      <c r="C57" s="8">
        <v>11413.82</v>
      </c>
      <c r="D57" s="8">
        <v>18010.68</v>
      </c>
      <c r="E57" s="9">
        <v>156.46</v>
      </c>
      <c r="F57" s="13">
        <v>1246.53</v>
      </c>
      <c r="G57" s="2"/>
      <c r="H57">
        <f t="shared" si="2"/>
        <v>3.4192454673446643E-3</v>
      </c>
      <c r="I57">
        <f t="shared" si="3"/>
        <v>-3.5410035287810858E-3</v>
      </c>
      <c r="J57">
        <f t="shared" si="4"/>
        <v>9.5378385831803025E-3</v>
      </c>
      <c r="K57">
        <f t="shared" si="5"/>
        <v>-1.9121058240862535E-2</v>
      </c>
      <c r="L57">
        <f t="shared" si="6"/>
        <v>2.1637038676206519E-2</v>
      </c>
      <c r="N57" s="2">
        <f t="shared" si="7"/>
        <v>23.799999999999272</v>
      </c>
      <c r="O57" s="2">
        <f t="shared" si="8"/>
        <v>-40.559999999999491</v>
      </c>
      <c r="P57" s="2">
        <f t="shared" si="9"/>
        <v>170.15999999999985</v>
      </c>
      <c r="Q57" s="2">
        <f t="shared" si="10"/>
        <v>-3.0499999999999829</v>
      </c>
      <c r="R57" s="2">
        <f t="shared" si="11"/>
        <v>26.399999999999864</v>
      </c>
    </row>
    <row r="58" spans="1:18" x14ac:dyDescent="0.25">
      <c r="A58" s="6">
        <v>42156</v>
      </c>
      <c r="B58" s="7">
        <v>6521</v>
      </c>
      <c r="C58" s="8">
        <v>10944.97</v>
      </c>
      <c r="D58" s="8">
        <v>17619.509999999998</v>
      </c>
      <c r="E58" s="9">
        <v>151.47</v>
      </c>
      <c r="F58" s="13">
        <v>1253.95</v>
      </c>
      <c r="G58" s="2"/>
      <c r="H58">
        <f t="shared" si="2"/>
        <v>-6.6347860947253826E-2</v>
      </c>
      <c r="I58">
        <f t="shared" si="3"/>
        <v>-4.1077395648433247E-2</v>
      </c>
      <c r="J58">
        <f t="shared" si="4"/>
        <v>-2.1718780190420454E-2</v>
      </c>
      <c r="K58">
        <f t="shared" si="5"/>
        <v>-3.1893135625719091E-2</v>
      </c>
      <c r="L58">
        <f t="shared" si="6"/>
        <v>5.9525242071992437E-3</v>
      </c>
      <c r="N58" s="2">
        <f t="shared" si="7"/>
        <v>-463.39999999999964</v>
      </c>
      <c r="O58" s="2">
        <f t="shared" si="8"/>
        <v>-468.85000000000036</v>
      </c>
      <c r="P58" s="2">
        <f t="shared" si="9"/>
        <v>-391.17000000000189</v>
      </c>
      <c r="Q58" s="2">
        <f t="shared" si="10"/>
        <v>-4.9900000000000091</v>
      </c>
      <c r="R58" s="2">
        <f t="shared" si="11"/>
        <v>7.4200000000000728</v>
      </c>
    </row>
    <row r="59" spans="1:18" x14ac:dyDescent="0.25">
      <c r="A59" s="6">
        <v>42186</v>
      </c>
      <c r="B59" s="7">
        <v>6696.3</v>
      </c>
      <c r="C59" s="8">
        <v>11308.99</v>
      </c>
      <c r="D59" s="8">
        <v>17689.86</v>
      </c>
      <c r="E59" s="9">
        <v>147.08000000000001</v>
      </c>
      <c r="F59" s="13">
        <v>1238.68</v>
      </c>
      <c r="G59" s="2"/>
      <c r="H59">
        <f t="shared" si="2"/>
        <v>2.6882380003067041E-2</v>
      </c>
      <c r="I59">
        <f t="shared" si="3"/>
        <v>3.3259113547136308E-2</v>
      </c>
      <c r="J59">
        <f t="shared" si="4"/>
        <v>3.9927330555731789E-3</v>
      </c>
      <c r="K59">
        <f t="shared" si="5"/>
        <v>-2.898263682577399E-2</v>
      </c>
      <c r="L59">
        <f t="shared" si="6"/>
        <v>-1.2177519039834109E-2</v>
      </c>
      <c r="N59" s="2">
        <f t="shared" si="7"/>
        <v>175.30000000000018</v>
      </c>
      <c r="O59" s="2">
        <f t="shared" si="8"/>
        <v>364.02000000000044</v>
      </c>
      <c r="P59" s="2">
        <f t="shared" si="9"/>
        <v>70.350000000002183</v>
      </c>
      <c r="Q59" s="2">
        <f t="shared" si="10"/>
        <v>-4.3899999999999864</v>
      </c>
      <c r="R59" s="2">
        <f t="shared" si="11"/>
        <v>-15.269999999999982</v>
      </c>
    </row>
    <row r="60" spans="1:18" x14ac:dyDescent="0.25">
      <c r="A60" s="6">
        <v>42219</v>
      </c>
      <c r="B60" s="7">
        <v>6247.9</v>
      </c>
      <c r="C60" s="8">
        <v>10259.459999999999</v>
      </c>
      <c r="D60" s="8">
        <v>16528.03</v>
      </c>
      <c r="E60" s="9">
        <v>133.6</v>
      </c>
      <c r="F60" s="13">
        <v>1159.45</v>
      </c>
      <c r="G60" s="2"/>
      <c r="H60">
        <f t="shared" si="2"/>
        <v>-6.6962352343831744E-2</v>
      </c>
      <c r="I60">
        <f t="shared" si="3"/>
        <v>-9.280492776101143E-2</v>
      </c>
      <c r="J60">
        <f t="shared" si="4"/>
        <v>-6.5677738546263326E-2</v>
      </c>
      <c r="K60">
        <f t="shared" si="5"/>
        <v>-9.1650802284471158E-2</v>
      </c>
      <c r="L60">
        <f t="shared" si="6"/>
        <v>-6.3963251202893409E-2</v>
      </c>
      <c r="N60" s="2">
        <f t="shared" si="7"/>
        <v>-448.40000000000055</v>
      </c>
      <c r="O60" s="2">
        <f t="shared" si="8"/>
        <v>-1049.5300000000007</v>
      </c>
      <c r="P60" s="2">
        <f t="shared" si="9"/>
        <v>-1161.8300000000017</v>
      </c>
      <c r="Q60" s="2">
        <f t="shared" si="10"/>
        <v>-13.480000000000018</v>
      </c>
      <c r="R60" s="2">
        <f t="shared" si="11"/>
        <v>-79.230000000000018</v>
      </c>
    </row>
    <row r="61" spans="1:18" x14ac:dyDescent="0.25">
      <c r="A61" s="6">
        <v>42248</v>
      </c>
      <c r="B61" s="7">
        <v>6061.6</v>
      </c>
      <c r="C61" s="8">
        <v>9660.44</v>
      </c>
      <c r="D61" s="8">
        <v>16284.7</v>
      </c>
      <c r="E61" s="9">
        <v>125.86</v>
      </c>
      <c r="F61" s="13">
        <v>1100.69</v>
      </c>
      <c r="G61" s="2"/>
      <c r="H61">
        <f t="shared" si="2"/>
        <v>-2.9818018854334941E-2</v>
      </c>
      <c r="I61">
        <f t="shared" si="3"/>
        <v>-5.8387088599204898E-2</v>
      </c>
      <c r="J61">
        <f t="shared" si="4"/>
        <v>-1.4722262725805684E-2</v>
      </c>
      <c r="K61">
        <f t="shared" si="5"/>
        <v>-5.7934131736526909E-2</v>
      </c>
      <c r="L61">
        <f t="shared" si="6"/>
        <v>-5.067920134546551E-2</v>
      </c>
      <c r="N61" s="2">
        <f t="shared" si="7"/>
        <v>-186.29999999999927</v>
      </c>
      <c r="O61" s="2">
        <f t="shared" si="8"/>
        <v>-599.01999999999862</v>
      </c>
      <c r="P61" s="2">
        <f t="shared" si="9"/>
        <v>-243.32999999999811</v>
      </c>
      <c r="Q61" s="2">
        <f t="shared" si="10"/>
        <v>-7.7399999999999949</v>
      </c>
      <c r="R61" s="2">
        <f t="shared" si="11"/>
        <v>-58.759999999999991</v>
      </c>
    </row>
    <row r="62" spans="1:18" x14ac:dyDescent="0.25">
      <c r="A62" s="6">
        <v>42278</v>
      </c>
      <c r="B62" s="7">
        <v>6361.1</v>
      </c>
      <c r="C62" s="8">
        <v>10850.14</v>
      </c>
      <c r="D62" s="8">
        <v>17663.54</v>
      </c>
      <c r="E62" s="9">
        <v>138.19</v>
      </c>
      <c r="F62" s="13">
        <v>1161.8599999999999</v>
      </c>
      <c r="G62" s="2"/>
      <c r="H62">
        <f t="shared" si="2"/>
        <v>4.9409396858915135E-2</v>
      </c>
      <c r="I62">
        <f t="shared" si="3"/>
        <v>0.12315174050043258</v>
      </c>
      <c r="J62">
        <f t="shared" si="4"/>
        <v>8.4670887397372996E-2</v>
      </c>
      <c r="K62">
        <f t="shared" si="5"/>
        <v>9.7965993961544554E-2</v>
      </c>
      <c r="L62">
        <f t="shared" si="6"/>
        <v>5.5574230709827331E-2</v>
      </c>
      <c r="N62" s="2">
        <f t="shared" si="7"/>
        <v>299.5</v>
      </c>
      <c r="O62" s="2">
        <f t="shared" si="8"/>
        <v>1189.6999999999989</v>
      </c>
      <c r="P62" s="2">
        <f t="shared" si="9"/>
        <v>1378.8400000000001</v>
      </c>
      <c r="Q62" s="2">
        <f t="shared" si="10"/>
        <v>12.329999999999998</v>
      </c>
      <c r="R62" s="2">
        <f t="shared" si="11"/>
        <v>61.169999999999845</v>
      </c>
    </row>
    <row r="63" spans="1:18" x14ac:dyDescent="0.25">
      <c r="A63" s="6">
        <v>42310</v>
      </c>
      <c r="B63" s="7">
        <v>6356.1</v>
      </c>
      <c r="C63" s="8">
        <v>11382.23</v>
      </c>
      <c r="D63" s="8">
        <v>17719.919999999998</v>
      </c>
      <c r="E63" s="9">
        <v>135.09</v>
      </c>
      <c r="F63" s="13">
        <v>1198.1099999999999</v>
      </c>
      <c r="G63" s="2"/>
      <c r="H63">
        <f t="shared" si="2"/>
        <v>-7.8602757384729056E-4</v>
      </c>
      <c r="I63">
        <f t="shared" si="3"/>
        <v>4.9039920222227563E-2</v>
      </c>
      <c r="J63">
        <f t="shared" si="4"/>
        <v>3.191885658254086E-3</v>
      </c>
      <c r="K63">
        <f t="shared" si="5"/>
        <v>-2.2432882263550145E-2</v>
      </c>
      <c r="L63">
        <f t="shared" si="6"/>
        <v>3.119997245795535E-2</v>
      </c>
      <c r="N63" s="2">
        <f t="shared" si="7"/>
        <v>-5</v>
      </c>
      <c r="O63" s="2">
        <f t="shared" si="8"/>
        <v>532.09000000000015</v>
      </c>
      <c r="P63" s="2">
        <f t="shared" si="9"/>
        <v>56.379999999997381</v>
      </c>
      <c r="Q63" s="2">
        <f t="shared" si="10"/>
        <v>-3.0999999999999943</v>
      </c>
      <c r="R63" s="2">
        <f t="shared" si="11"/>
        <v>36.25</v>
      </c>
    </row>
    <row r="64" spans="1:18" x14ac:dyDescent="0.25">
      <c r="A64" s="6">
        <v>42339</v>
      </c>
      <c r="B64" s="7">
        <v>6242.3</v>
      </c>
      <c r="C64" s="8">
        <v>10743.01</v>
      </c>
      <c r="D64" s="8">
        <v>17425.03</v>
      </c>
      <c r="E64" s="9">
        <v>136.26</v>
      </c>
      <c r="F64" s="13">
        <v>1135.8900000000001</v>
      </c>
      <c r="G64" s="2"/>
      <c r="H64">
        <f t="shared" si="2"/>
        <v>-1.7904060666131774E-2</v>
      </c>
      <c r="I64">
        <f t="shared" si="3"/>
        <v>-5.6159469629413511E-2</v>
      </c>
      <c r="J64">
        <f t="shared" si="4"/>
        <v>-1.6641722987462665E-2</v>
      </c>
      <c r="K64">
        <f t="shared" si="5"/>
        <v>8.6608927381744572E-3</v>
      </c>
      <c r="L64">
        <f t="shared" si="6"/>
        <v>-5.1931792573302792E-2</v>
      </c>
      <c r="N64" s="2">
        <f t="shared" si="7"/>
        <v>-113.80000000000018</v>
      </c>
      <c r="O64" s="2">
        <f t="shared" si="8"/>
        <v>-639.21999999999935</v>
      </c>
      <c r="P64" s="2">
        <f t="shared" si="9"/>
        <v>-294.88999999999942</v>
      </c>
      <c r="Q64" s="2">
        <f t="shared" si="10"/>
        <v>1.1699999999999875</v>
      </c>
      <c r="R64" s="2">
        <f t="shared" si="11"/>
        <v>-62.2199999999998</v>
      </c>
    </row>
    <row r="65" spans="1:18" x14ac:dyDescent="0.25">
      <c r="A65" s="6">
        <v>42373</v>
      </c>
      <c r="B65" s="7">
        <v>6083.8</v>
      </c>
      <c r="C65" s="8">
        <v>9798.11</v>
      </c>
      <c r="D65" s="8">
        <v>16466.3</v>
      </c>
      <c r="E65" s="9">
        <v>123.84</v>
      </c>
      <c r="F65" s="13">
        <v>1035.3800000000001</v>
      </c>
      <c r="G65" s="2"/>
      <c r="H65">
        <f t="shared" si="2"/>
        <v>-2.5391282059497301E-2</v>
      </c>
      <c r="I65">
        <f t="shared" si="3"/>
        <v>-8.7954865535822796E-2</v>
      </c>
      <c r="J65">
        <f t="shared" si="4"/>
        <v>-5.5020278300812089E-2</v>
      </c>
      <c r="K65">
        <f t="shared" si="5"/>
        <v>-9.1149273447820256E-2</v>
      </c>
      <c r="L65">
        <f t="shared" si="6"/>
        <v>-8.8485680831770663E-2</v>
      </c>
      <c r="N65" s="2">
        <f t="shared" si="7"/>
        <v>-158.5</v>
      </c>
      <c r="O65" s="2">
        <f t="shared" si="8"/>
        <v>-944.89999999999964</v>
      </c>
      <c r="P65" s="2">
        <f t="shared" si="9"/>
        <v>-958.72999999999956</v>
      </c>
      <c r="Q65" s="2">
        <f t="shared" si="10"/>
        <v>-12.419999999999987</v>
      </c>
      <c r="R65" s="2">
        <f t="shared" si="11"/>
        <v>-100.50999999999999</v>
      </c>
    </row>
    <row r="66" spans="1:18" x14ac:dyDescent="0.25">
      <c r="A66" s="6">
        <v>42401</v>
      </c>
      <c r="B66" s="7">
        <v>6097.1</v>
      </c>
      <c r="C66" s="8">
        <v>9495.4</v>
      </c>
      <c r="D66" s="8">
        <v>16516.5</v>
      </c>
      <c r="E66" s="9">
        <v>119.01</v>
      </c>
      <c r="F66" s="13">
        <v>1033.9000000000001</v>
      </c>
      <c r="G66" s="2"/>
      <c r="H66">
        <f t="shared" si="2"/>
        <v>2.1861336664584933E-3</v>
      </c>
      <c r="I66">
        <f t="shared" si="3"/>
        <v>-3.0894733780290375E-2</v>
      </c>
      <c r="J66">
        <f t="shared" si="4"/>
        <v>3.0486508808901048E-3</v>
      </c>
      <c r="K66">
        <f t="shared" si="5"/>
        <v>-3.900193798449611E-2</v>
      </c>
      <c r="L66">
        <f t="shared" si="6"/>
        <v>-1.4294268770886226E-3</v>
      </c>
      <c r="N66" s="2">
        <f t="shared" si="7"/>
        <v>13.300000000000182</v>
      </c>
      <c r="O66" s="2">
        <f t="shared" si="8"/>
        <v>-302.71000000000095</v>
      </c>
      <c r="P66" s="2">
        <f t="shared" si="9"/>
        <v>50.200000000000728</v>
      </c>
      <c r="Q66" s="2">
        <f t="shared" si="10"/>
        <v>-4.8299999999999983</v>
      </c>
      <c r="R66" s="2">
        <f t="shared" si="11"/>
        <v>-1.4800000000000182</v>
      </c>
    </row>
    <row r="67" spans="1:18" x14ac:dyDescent="0.25">
      <c r="A67" s="6">
        <v>42430</v>
      </c>
      <c r="B67" s="7">
        <v>6174.9</v>
      </c>
      <c r="C67" s="8">
        <v>9965.51</v>
      </c>
      <c r="D67" s="8">
        <v>17685.09</v>
      </c>
      <c r="E67" s="9">
        <v>128.63999999999999</v>
      </c>
      <c r="F67" s="13">
        <v>1114.03</v>
      </c>
      <c r="G67" s="2"/>
      <c r="H67">
        <f t="shared" si="2"/>
        <v>1.2760164668448815E-2</v>
      </c>
      <c r="I67">
        <f t="shared" si="3"/>
        <v>4.9509236051140618E-2</v>
      </c>
      <c r="J67">
        <f t="shared" si="4"/>
        <v>7.0752883480156223E-2</v>
      </c>
      <c r="K67">
        <f t="shared" si="5"/>
        <v>8.0917569952104709E-2</v>
      </c>
      <c r="L67">
        <f t="shared" si="6"/>
        <v>7.7502659831705067E-2</v>
      </c>
      <c r="N67" s="2">
        <f t="shared" si="7"/>
        <v>77.799999999999272</v>
      </c>
      <c r="O67" s="2">
        <f t="shared" si="8"/>
        <v>470.11000000000058</v>
      </c>
      <c r="P67" s="2">
        <f t="shared" si="9"/>
        <v>1168.5900000000001</v>
      </c>
      <c r="Q67" s="2">
        <f t="shared" si="10"/>
        <v>9.6299999999999812</v>
      </c>
      <c r="R67" s="2">
        <f t="shared" si="11"/>
        <v>80.129999999999882</v>
      </c>
    </row>
    <row r="68" spans="1:18" x14ac:dyDescent="0.25">
      <c r="A68" s="6">
        <v>42461</v>
      </c>
      <c r="B68" s="7">
        <v>6241.9</v>
      </c>
      <c r="C68" s="8">
        <v>10038.969999999999</v>
      </c>
      <c r="D68" s="8">
        <v>17773.64</v>
      </c>
      <c r="E68" s="9">
        <v>130.88</v>
      </c>
      <c r="F68" s="13">
        <v>1130.8499999999999</v>
      </c>
      <c r="G68" s="2"/>
      <c r="H68">
        <f t="shared" si="2"/>
        <v>1.0850378143775609E-2</v>
      </c>
      <c r="I68">
        <f t="shared" si="3"/>
        <v>7.3714240415191116E-3</v>
      </c>
      <c r="J68">
        <f t="shared" si="4"/>
        <v>5.0070426557059797E-3</v>
      </c>
      <c r="K68">
        <f t="shared" si="5"/>
        <v>1.7412935323383158E-2</v>
      </c>
      <c r="L68">
        <f t="shared" si="6"/>
        <v>1.5098336669568986E-2</v>
      </c>
      <c r="N68" s="2">
        <f t="shared" si="7"/>
        <v>67</v>
      </c>
      <c r="O68" s="2">
        <f t="shared" si="8"/>
        <v>73.459999999999127</v>
      </c>
      <c r="P68" s="2">
        <f t="shared" si="9"/>
        <v>88.549999999999272</v>
      </c>
      <c r="Q68" s="2">
        <f t="shared" si="10"/>
        <v>2.2400000000000091</v>
      </c>
      <c r="R68" s="2">
        <f t="shared" si="11"/>
        <v>16.819999999999936</v>
      </c>
    </row>
    <row r="69" spans="1:18" x14ac:dyDescent="0.25">
      <c r="A69" s="6">
        <v>42493</v>
      </c>
      <c r="B69" s="7">
        <v>6230.8</v>
      </c>
      <c r="C69" s="8">
        <v>10262.74</v>
      </c>
      <c r="D69" s="8">
        <v>17787.2</v>
      </c>
      <c r="E69" s="9">
        <v>129.05000000000001</v>
      </c>
      <c r="F69" s="13">
        <v>1154.79</v>
      </c>
      <c r="G69" s="2"/>
      <c r="H69">
        <f t="shared" si="2"/>
        <v>-1.7783046828689108E-3</v>
      </c>
      <c r="I69">
        <f t="shared" si="3"/>
        <v>2.2290135342570051E-2</v>
      </c>
      <c r="J69">
        <f t="shared" si="4"/>
        <v>7.6292757139231524E-4</v>
      </c>
      <c r="K69">
        <f t="shared" si="5"/>
        <v>-1.3982273838630686E-2</v>
      </c>
      <c r="L69">
        <f t="shared" si="6"/>
        <v>2.1169916434540439E-2</v>
      </c>
      <c r="N69" s="2">
        <f t="shared" si="7"/>
        <v>-11.099999999999454</v>
      </c>
      <c r="O69" s="2">
        <f t="shared" si="8"/>
        <v>223.77000000000044</v>
      </c>
      <c r="P69" s="2">
        <f t="shared" si="9"/>
        <v>13.56000000000131</v>
      </c>
      <c r="Q69" s="2">
        <f t="shared" si="10"/>
        <v>-1.8299999999999841</v>
      </c>
      <c r="R69" s="2">
        <f t="shared" si="11"/>
        <v>23.940000000000055</v>
      </c>
    </row>
    <row r="70" spans="1:18" ht="16.5" thickBot="1" x14ac:dyDescent="0.3">
      <c r="A70" s="6">
        <v>42522</v>
      </c>
      <c r="B70" s="15">
        <v>5966.8</v>
      </c>
      <c r="C70" s="16">
        <v>9606.7099999999991</v>
      </c>
      <c r="D70" s="16">
        <v>17640.169999999998</v>
      </c>
      <c r="E70" s="17">
        <v>126.91</v>
      </c>
      <c r="F70" s="19">
        <v>1149.3</v>
      </c>
      <c r="G70" s="1"/>
      <c r="H70">
        <f t="shared" ref="H70" si="12">(B70-B69)/B69</f>
        <v>-4.2370161135006738E-2</v>
      </c>
      <c r="I70">
        <f t="shared" ref="I70" si="13">(C70-C69)/C69</f>
        <v>-6.392347462763362E-2</v>
      </c>
      <c r="J70">
        <f t="shared" ref="J70" si="14">(D70-D69)/D69</f>
        <v>-8.2660564900604062E-3</v>
      </c>
      <c r="K70">
        <f t="shared" ref="K70" si="15">(E70-E69)/E69</f>
        <v>-1.6582719876017161E-2</v>
      </c>
      <c r="L70">
        <f t="shared" ref="L70" si="16">(F70-F69)/F69</f>
        <v>-4.7541111370898682E-3</v>
      </c>
      <c r="N70" s="2">
        <f t="shared" ref="N70" si="17">B70-B69</f>
        <v>-264</v>
      </c>
      <c r="O70" s="2">
        <f t="shared" ref="O70" si="18">C70-C69</f>
        <v>-656.03000000000065</v>
      </c>
      <c r="P70" s="2">
        <f t="shared" ref="P70" si="19">D70-D69</f>
        <v>-147.03000000000247</v>
      </c>
      <c r="Q70" s="2">
        <f t="shared" ref="Q70" si="20">E70-E69</f>
        <v>-2.1400000000000148</v>
      </c>
      <c r="R70" s="2">
        <f t="shared" ref="R70" si="21">F70-F69</f>
        <v>-5.4900000000000091</v>
      </c>
    </row>
    <row r="71" spans="1:18" x14ac:dyDescent="0.25">
      <c r="H71">
        <f>AVERAGE(H5:H70)</f>
        <v>6.9487739467443018E-4</v>
      </c>
      <c r="I71">
        <f t="shared" ref="I71:K71" si="22">AVERAGE(I5:I70)</f>
        <v>6.4017117810911059E-3</v>
      </c>
      <c r="J71">
        <f t="shared" si="22"/>
        <v>6.9308406204892188E-3</v>
      </c>
      <c r="K71">
        <f t="shared" si="22"/>
        <v>-1.0752717803033534E-3</v>
      </c>
      <c r="L71">
        <f>AVERAGE(L5:L70)</f>
        <v>6.875193540961823E-3</v>
      </c>
    </row>
  </sheetData>
  <autoFilter ref="A3:F70" xr:uid="{00000000-0001-0000-0100-000000000000}">
    <sortState xmlns:xlrd2="http://schemas.microsoft.com/office/spreadsheetml/2017/richdata2" ref="A4:F70">
      <sortCondition ref="A3:A70"/>
    </sortState>
  </autoFilter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Markowitz</vt:lpstr>
      <vt:lpstr>Markowitz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ray dit</cp:lastModifiedBy>
  <dcterms:created xsi:type="dcterms:W3CDTF">2016-06-16T11:39:46Z</dcterms:created>
  <dcterms:modified xsi:type="dcterms:W3CDTF">2022-12-01T19:13:34Z</dcterms:modified>
</cp:coreProperties>
</file>